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옵션비교" sheetId="1" state="visible" r:id="rId1"/>
    <sheet xmlns:r="http://schemas.openxmlformats.org/officeDocument/2006/relationships" name="옵션A" sheetId="2" state="visible" r:id="rId2"/>
    <sheet xmlns:r="http://schemas.openxmlformats.org/officeDocument/2006/relationships" name="옵션B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"/>
  </numFmts>
  <fonts count="8">
    <font>
      <name val="Calibri"/>
      <family val="2"/>
      <color theme="1"/>
      <sz val="11"/>
      <scheme val="minor"/>
    </font>
    <font>
      <name val="Noto Sans CJK KR"/>
      <b val="1"/>
      <color rgb="00000000"/>
      <sz val="20"/>
    </font>
    <font>
      <name val="Noto Sans CJK KR"/>
      <b val="1"/>
      <color rgb="00000000"/>
      <sz val="10"/>
    </font>
    <font>
      <name val="Noto Sans CJK KR"/>
      <color rgb="00000000"/>
      <sz val="10"/>
    </font>
    <font>
      <name val="Noto Sans CJK KR"/>
      <b val="1"/>
      <color rgb="00000000"/>
      <sz val="13"/>
    </font>
    <font>
      <name val="Noto Sans CJK KR"/>
      <b val="1"/>
      <color rgb="00FFFFFF"/>
      <sz val="10"/>
    </font>
    <font>
      <name val="Noto Sans CJK KR"/>
      <b val="1"/>
      <color rgb="00FFFFFF"/>
      <sz val="12"/>
    </font>
    <font>
      <name val="Noto Sans CJK KR"/>
      <color rgb="00000000"/>
      <sz val="9"/>
    </font>
  </fonts>
  <fills count="6">
    <fill>
      <patternFill/>
    </fill>
    <fill>
      <patternFill patternType="gray125"/>
    </fill>
    <fill>
      <patternFill patternType="solid">
        <fgColor rgb="00EEF3F8"/>
      </patternFill>
    </fill>
    <fill>
      <patternFill patternType="solid">
        <fgColor rgb="00DDE7F1"/>
      </patternFill>
    </fill>
    <fill>
      <patternFill patternType="solid">
        <fgColor rgb="002F3640"/>
      </patternFill>
    </fill>
    <fill>
      <patternFill patternType="solid">
        <fgColor rgb="000B4A8A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164" fontId="3" fillId="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right" vertical="center"/>
    </xf>
    <xf numFmtId="3" fontId="2" fillId="2" borderId="1" applyAlignment="1" pivotButton="0" quotePrefix="0" xfId="0">
      <alignment horizontal="right" vertical="center"/>
    </xf>
    <xf numFmtId="0" fontId="3" fillId="2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right" vertical="center"/>
    </xf>
    <xf numFmtId="0" fontId="3" fillId="5" borderId="1" applyAlignment="1" pivotButton="0" quotePrefix="0" xfId="0">
      <alignment horizontal="center" vertical="center"/>
    </xf>
    <xf numFmtId="3" fontId="5" fillId="5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20"/>
  <sheetViews>
    <sheetView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9" customWidth="1" min="3" max="3"/>
    <col width="9" customWidth="1" min="4" max="4"/>
    <col width="14" customWidth="1" min="5" max="5"/>
    <col width="13" customWidth="1" min="6" max="6"/>
    <col width="14" customWidth="1" min="7" max="7"/>
    <col width="16" customWidth="1" min="8" max="8"/>
  </cols>
  <sheetData>
    <row r="1" ht="32" customHeight="1">
      <c r="A1" s="1" t="inlineStr">
        <is>
          <t>견 적 서 / ESTIMATE</t>
        </is>
      </c>
    </row>
    <row r="2">
      <c r="A2" s="2" t="inlineStr">
        <is>
          <t>수신</t>
        </is>
      </c>
      <c r="B2" s="3" t="inlineStr">
        <is>
          <t>스노우스페이스 귀하</t>
        </is>
      </c>
      <c r="D2" s="2" t="inlineStr">
        <is>
          <t>상호명</t>
        </is>
      </c>
      <c r="E2" s="3" t="inlineStr">
        <is>
          <t>삼우비전</t>
        </is>
      </c>
    </row>
    <row r="3">
      <c r="A3" s="2" t="inlineStr">
        <is>
          <t>건명</t>
        </is>
      </c>
      <c r="B3" s="3" t="inlineStr">
        <is>
          <t>홍대 컨퍼런스룸 커브드+평면 LED전광판 구축</t>
        </is>
      </c>
      <c r="D3" s="2" t="inlineStr">
        <is>
          <t>대표자</t>
        </is>
      </c>
      <c r="E3" s="3" t="inlineStr">
        <is>
          <t>박상우</t>
        </is>
      </c>
    </row>
    <row r="4">
      <c r="A4" s="2" t="inlineStr">
        <is>
          <t>견적일</t>
        </is>
      </c>
      <c r="B4" s="3" t="inlineStr">
        <is>
          <t>2026-01-21</t>
        </is>
      </c>
      <c r="D4" s="2" t="inlineStr">
        <is>
          <t>사업자번호</t>
        </is>
      </c>
      <c r="E4" s="3" t="inlineStr">
        <is>
          <t>215-87-71008</t>
        </is>
      </c>
    </row>
    <row r="5">
      <c r="A5" s="2" t="inlineStr">
        <is>
          <t>문서번호</t>
        </is>
      </c>
      <c r="B5" s="3" t="inlineStr">
        <is>
          <t>SW-2026-0188</t>
        </is>
      </c>
      <c r="D5" s="2" t="inlineStr">
        <is>
          <t>연락처</t>
        </is>
      </c>
      <c r="E5" s="3" t="inlineStr">
        <is>
          <t>031-8015-7700 / samwoo@samwoovision.kr</t>
        </is>
      </c>
    </row>
    <row r="6">
      <c r="A6" s="2" t="inlineStr">
        <is>
          <t>유효기간</t>
        </is>
      </c>
      <c r="B6" s="3" t="inlineStr">
        <is>
          <t>견적일로부터 14일</t>
        </is>
      </c>
      <c r="D6" s="2" t="inlineStr">
        <is>
          <t>주소</t>
        </is>
      </c>
      <c r="E6" s="3" t="inlineStr">
        <is>
          <t>경기도 화성시 동탄순환대로 830, 금강펜테리움 IX타워 B동 1207호</t>
        </is>
      </c>
    </row>
    <row r="8">
      <c r="A8" s="4" t="inlineStr">
        <is>
          <t>옵션 비교 요약 (택1)</t>
        </is>
      </c>
    </row>
    <row r="10">
      <c r="A10" s="5" t="inlineStr">
        <is>
          <t>옵션</t>
        </is>
      </c>
      <c r="B10" s="5" t="inlineStr">
        <is>
          <t>구성</t>
        </is>
      </c>
      <c r="C10" s="5" t="inlineStr">
        <is>
          <t>Pitch</t>
        </is>
      </c>
      <c r="D10" s="5" t="inlineStr">
        <is>
          <t>밝기</t>
        </is>
      </c>
      <c r="E10" s="5" t="inlineStr">
        <is>
          <t>VAT별도</t>
        </is>
      </c>
      <c r="F10" s="5" t="inlineStr">
        <is>
          <t>세액</t>
        </is>
      </c>
      <c r="G10" s="5" t="inlineStr">
        <is>
          <t>VAT포함</t>
        </is>
      </c>
      <c r="H10" s="5" t="inlineStr">
        <is>
          <t>비고</t>
        </is>
      </c>
    </row>
    <row r="11">
      <c r="A11" s="6" t="inlineStr">
        <is>
          <t>옵션 A (P2.0 고휘도안)</t>
        </is>
      </c>
      <c r="B11" s="3" t="inlineStr">
        <is>
          <t>커브드+플랫 LED (상세: '옵션A' 시트)</t>
        </is>
      </c>
      <c r="C11" s="7" t="inlineStr">
        <is>
          <t>P2.0</t>
        </is>
      </c>
      <c r="D11" s="7" t="inlineStr">
        <is>
          <t>800cd/㎡</t>
        </is>
      </c>
      <c r="E11" s="8">
        <f>'옵션A'!G19</f>
        <v/>
      </c>
      <c r="F11" s="8">
        <f>'옵션A'!H19</f>
        <v/>
      </c>
      <c r="G11" s="8"/>
      <c r="H11" s="9" t="inlineStr">
        <is>
          <t>고휘도/프리미엄</t>
        </is>
      </c>
    </row>
    <row r="12">
      <c r="A12" s="6" t="inlineStr">
        <is>
          <t>옵션 B (P2.5 표준안)</t>
        </is>
      </c>
      <c r="B12" s="3" t="inlineStr">
        <is>
          <t>커브드+플랫 LED (상세: '옵션B' 시트)</t>
        </is>
      </c>
      <c r="C12" s="7" t="inlineStr">
        <is>
          <t>P2.5</t>
        </is>
      </c>
      <c r="D12" s="7" t="inlineStr">
        <is>
          <t>700cd/㎡</t>
        </is>
      </c>
      <c r="E12" s="8">
        <f>'옵션B'!G19</f>
        <v/>
      </c>
      <c r="F12" s="8">
        <f>'옵션B'!H19</f>
        <v/>
      </c>
      <c r="G12" s="8"/>
      <c r="H12" s="9" t="inlineStr">
        <is>
          <t>표준/가성비</t>
        </is>
      </c>
    </row>
    <row r="14">
      <c r="A14" s="10" t="inlineStr">
        <is>
          <t>특 이 사 항</t>
        </is>
      </c>
    </row>
    <row r="15">
      <c r="A15" s="9" t="inlineStr">
        <is>
          <t>▶ 납기(도입 가능일): 발주 후 45일</t>
        </is>
      </c>
    </row>
    <row r="16">
      <c r="A16" s="9" t="inlineStr">
        <is>
          <t>▶ 무상보증: 시공 후 1년 무상보증</t>
        </is>
      </c>
    </row>
    <row r="17">
      <c r="A17" s="9" t="inlineStr">
        <is>
          <t>▶ 소프트웨어(운영 PC/CMS): 미포함</t>
        </is>
      </c>
    </row>
    <row r="18">
      <c r="A18" s="9" t="inlineStr">
        <is>
          <t>▶ ※ 본 견적은 두 가지 사양안(A/B)을 함께 제시합니다</t>
        </is>
      </c>
    </row>
    <row r="19">
      <c r="A19" s="9" t="inlineStr">
        <is>
          <t>▶ 옵션 A: 고휘도 P2.0안 / 옵션 B: 표준 P2.5안</t>
        </is>
      </c>
    </row>
    <row r="20">
      <c r="A20" s="9" t="inlineStr">
        <is>
          <t>▶ 선금 50% / 잔금 50%</t>
        </is>
      </c>
    </row>
  </sheetData>
  <mergeCells count="19">
    <mergeCell ref="A15:H15"/>
    <mergeCell ref="B3:C3"/>
    <mergeCell ref="A1:H1"/>
    <mergeCell ref="E2:H2"/>
    <mergeCell ref="B2:C2"/>
    <mergeCell ref="E3:H3"/>
    <mergeCell ref="A16:H16"/>
    <mergeCell ref="E5:H5"/>
    <mergeCell ref="A18:H18"/>
    <mergeCell ref="E4:H4"/>
    <mergeCell ref="A14:H14"/>
    <mergeCell ref="A8:H8"/>
    <mergeCell ref="A17:H17"/>
    <mergeCell ref="B6:C6"/>
    <mergeCell ref="A20:H20"/>
    <mergeCell ref="B5:C5"/>
    <mergeCell ref="E6:H6"/>
    <mergeCell ref="A19:H19"/>
    <mergeCell ref="B4:C4"/>
  </mergeCells>
  <printOptions horizontalCentered="1"/>
  <pageMargins left="0.75" right="0.75" top="1" bottom="1" header="0.5" footer="0.5"/>
  <pageSetup orientation="portrait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20"/>
  <sheetViews>
    <sheetView workbookViewId="0">
      <selection activeCell="A1" sqref="A1"/>
    </sheetView>
  </sheetViews>
  <sheetFormatPr baseColWidth="8" defaultRowHeight="15"/>
  <cols>
    <col width="5" customWidth="1" min="1" max="1"/>
    <col width="20" customWidth="1" min="2" max="2"/>
    <col width="32" customWidth="1" min="3" max="3"/>
    <col width="11" customWidth="1" min="4" max="4"/>
    <col width="7" customWidth="1" min="5" max="5"/>
    <col width="14" customWidth="1" min="6" max="6"/>
    <col width="15" customWidth="1" min="7" max="7"/>
    <col width="14" customWidth="1" min="8" max="8"/>
  </cols>
  <sheetData>
    <row r="1">
      <c r="A1" s="11" t="inlineStr">
        <is>
          <t>삼우비전 - 옵션 A (P2.0 고휘도안)</t>
        </is>
      </c>
    </row>
    <row r="3">
      <c r="A3" s="12" t="inlineStr">
        <is>
          <t>[ 커브드 LED ]  12,000 x 3,000mm  ·  P2.0  ·  해상도 6,000x1,500  ·  800cd/㎡  ·  면적 36.00㎡  ·  모듈 722EA / 캐비닛 114EA</t>
        </is>
      </c>
    </row>
    <row r="4">
      <c r="A4" s="5" t="inlineStr">
        <is>
          <t>No</t>
        </is>
      </c>
      <c r="B4" s="5" t="inlineStr">
        <is>
          <t>품명</t>
        </is>
      </c>
      <c r="C4" s="5" t="inlineStr">
        <is>
          <t>규격</t>
        </is>
      </c>
      <c r="D4" s="5" t="inlineStr">
        <is>
          <t>수량</t>
        </is>
      </c>
      <c r="E4" s="5" t="inlineStr">
        <is>
          <t>단위</t>
        </is>
      </c>
      <c r="F4" s="5" t="inlineStr">
        <is>
          <t>단가</t>
        </is>
      </c>
      <c r="G4" s="5" t="inlineStr">
        <is>
          <t>공급가액</t>
        </is>
      </c>
      <c r="H4" s="5" t="inlineStr">
        <is>
          <t>세액</t>
        </is>
      </c>
    </row>
    <row r="5">
      <c r="A5" s="7" t="n">
        <v>1</v>
      </c>
      <c r="B5" s="3" t="inlineStr">
        <is>
          <t>LED 디스플레이</t>
        </is>
      </c>
      <c r="C5" s="3" t="inlineStr">
        <is>
          <t>P2.0 SMD Die-casting</t>
        </is>
      </c>
      <c r="D5" s="13" t="n">
        <v>36</v>
      </c>
      <c r="E5" s="7" t="inlineStr">
        <is>
          <t>SQM</t>
        </is>
      </c>
      <c r="F5" s="8" t="n">
        <v>1200000</v>
      </c>
      <c r="G5" s="8">
        <f>D5*F5</f>
        <v/>
      </c>
      <c r="H5" s="8">
        <f>ROUND(G5*0.1,0)</f>
        <v/>
      </c>
    </row>
    <row r="6">
      <c r="A6" s="7" t="n">
        <v>2</v>
      </c>
      <c r="B6" s="3" t="inlineStr">
        <is>
          <t>프로세서</t>
        </is>
      </c>
      <c r="C6" s="3" t="inlineStr">
        <is>
          <t>NovaStar VX1000</t>
        </is>
      </c>
      <c r="D6" s="13" t="n">
        <v>1</v>
      </c>
      <c r="E6" s="7" t="inlineStr">
        <is>
          <t>SET</t>
        </is>
      </c>
      <c r="F6" s="8" t="n">
        <v>3500000</v>
      </c>
      <c r="G6" s="8">
        <f>D6*F6</f>
        <v/>
      </c>
      <c r="H6" s="8">
        <f>ROUND(G6*0.1,0)</f>
        <v/>
      </c>
    </row>
    <row r="7">
      <c r="A7" s="7" t="n">
        <v>3</v>
      </c>
      <c r="B7" s="3" t="inlineStr">
        <is>
          <t>구조물/배선</t>
        </is>
      </c>
      <c r="C7" s="3" t="inlineStr">
        <is>
          <t>커브드 함체·구조물</t>
        </is>
      </c>
      <c r="D7" s="13" t="n">
        <v>1</v>
      </c>
      <c r="E7" s="7" t="inlineStr">
        <is>
          <t>SET</t>
        </is>
      </c>
      <c r="F7" s="8" t="n">
        <v>5000000</v>
      </c>
      <c r="G7" s="8">
        <f>D7*F7</f>
        <v/>
      </c>
      <c r="H7" s="8">
        <f>ROUND(G7*0.1,0)</f>
        <v/>
      </c>
    </row>
    <row r="8">
      <c r="A8" s="7" t="n">
        <v>4</v>
      </c>
      <c r="B8" s="3" t="inlineStr">
        <is>
          <t>설치공사</t>
        </is>
      </c>
      <c r="C8" s="3" t="inlineStr">
        <is>
          <t>설치·보양</t>
        </is>
      </c>
      <c r="D8" s="13" t="n">
        <v>1</v>
      </c>
      <c r="E8" s="7" t="inlineStr">
        <is>
          <t>SET</t>
        </is>
      </c>
      <c r="F8" s="8" t="n">
        <v>4000000</v>
      </c>
      <c r="G8" s="8">
        <f>D8*F8</f>
        <v/>
      </c>
      <c r="H8" s="8">
        <f>ROUND(G8*0.1,0)</f>
        <v/>
      </c>
    </row>
    <row r="9">
      <c r="A9" s="14" t="inlineStr">
        <is>
          <t>계 (VAT 별도)</t>
        </is>
      </c>
      <c r="G9" s="15">
        <f>SUM(G5:G8)</f>
        <v/>
      </c>
      <c r="H9" s="15">
        <f>SUM(H5:H8)</f>
        <v/>
      </c>
    </row>
    <row r="11">
      <c r="A11" s="12" t="inlineStr">
        <is>
          <t>[ 플랫 LED ]  7,150 x 2,700mm  ·  P2.0  ·  해상도 3,575x1,350  ·  800cd/㎡  ·  면적 19.30㎡  ·  모듈 374EA / 캐비닛 66EA</t>
        </is>
      </c>
    </row>
    <row r="12">
      <c r="A12" s="5" t="inlineStr">
        <is>
          <t>No</t>
        </is>
      </c>
      <c r="B12" s="5" t="inlineStr">
        <is>
          <t>품명</t>
        </is>
      </c>
      <c r="C12" s="5" t="inlineStr">
        <is>
          <t>규격</t>
        </is>
      </c>
      <c r="D12" s="5" t="inlineStr">
        <is>
          <t>수량</t>
        </is>
      </c>
      <c r="E12" s="5" t="inlineStr">
        <is>
          <t>단위</t>
        </is>
      </c>
      <c r="F12" s="5" t="inlineStr">
        <is>
          <t>단가</t>
        </is>
      </c>
      <c r="G12" s="5" t="inlineStr">
        <is>
          <t>공급가액</t>
        </is>
      </c>
      <c r="H12" s="5" t="inlineStr">
        <is>
          <t>세액</t>
        </is>
      </c>
    </row>
    <row r="13">
      <c r="A13" s="7" t="n">
        <v>1</v>
      </c>
      <c r="B13" s="3" t="inlineStr">
        <is>
          <t>LED 디스플레이</t>
        </is>
      </c>
      <c r="C13" s="3" t="inlineStr">
        <is>
          <t>P2.0 SMD Die-casting</t>
        </is>
      </c>
      <c r="D13" s="13" t="n">
        <v>19.305</v>
      </c>
      <c r="E13" s="7" t="inlineStr">
        <is>
          <t>SQM</t>
        </is>
      </c>
      <c r="F13" s="8" t="n">
        <v>1200000</v>
      </c>
      <c r="G13" s="8">
        <f>D13*F13</f>
        <v/>
      </c>
      <c r="H13" s="8">
        <f>ROUND(G13*0.1,0)</f>
        <v/>
      </c>
    </row>
    <row r="14">
      <c r="A14" s="7" t="n">
        <v>2</v>
      </c>
      <c r="B14" s="3" t="inlineStr">
        <is>
          <t>프로세서</t>
        </is>
      </c>
      <c r="C14" s="3" t="inlineStr">
        <is>
          <t>NovaStar VX600</t>
        </is>
      </c>
      <c r="D14" s="13" t="n">
        <v>1</v>
      </c>
      <c r="E14" s="7" t="inlineStr">
        <is>
          <t>SET</t>
        </is>
      </c>
      <c r="F14" s="8" t="n">
        <v>2000000</v>
      </c>
      <c r="G14" s="8">
        <f>D14*F14</f>
        <v/>
      </c>
      <c r="H14" s="8">
        <f>ROUND(G14*0.1,0)</f>
        <v/>
      </c>
    </row>
    <row r="15">
      <c r="A15" s="7" t="n">
        <v>3</v>
      </c>
      <c r="B15" s="3" t="inlineStr">
        <is>
          <t>구조물/배선</t>
        </is>
      </c>
      <c r="C15" s="3" t="inlineStr">
        <is>
          <t>평면 함체·구조물</t>
        </is>
      </c>
      <c r="D15" s="13" t="n">
        <v>1</v>
      </c>
      <c r="E15" s="7" t="inlineStr">
        <is>
          <t>SET</t>
        </is>
      </c>
      <c r="F15" s="8" t="n">
        <v>3400000</v>
      </c>
      <c r="G15" s="8">
        <f>D15*F15</f>
        <v/>
      </c>
      <c r="H15" s="8">
        <f>ROUND(G15*0.1,0)</f>
        <v/>
      </c>
    </row>
    <row r="16">
      <c r="A16" s="7" t="n">
        <v>4</v>
      </c>
      <c r="B16" s="3" t="inlineStr">
        <is>
          <t>설치공사</t>
        </is>
      </c>
      <c r="C16" s="3" t="inlineStr">
        <is>
          <t>설치·보양</t>
        </is>
      </c>
      <c r="D16" s="13" t="n">
        <v>1</v>
      </c>
      <c r="E16" s="7" t="inlineStr">
        <is>
          <t>SET</t>
        </is>
      </c>
      <c r="F16" s="8" t="n">
        <v>2900000</v>
      </c>
      <c r="G16" s="8">
        <f>D16*F16</f>
        <v/>
      </c>
      <c r="H16" s="8">
        <f>ROUND(G16*0.1,0)</f>
        <v/>
      </c>
    </row>
    <row r="17">
      <c r="A17" s="14" t="inlineStr">
        <is>
          <t>계 (VAT 별도)</t>
        </is>
      </c>
      <c r="G17" s="15">
        <f>SUM(G13:G16)</f>
        <v/>
      </c>
      <c r="H17" s="15">
        <f>SUM(H13:H16)</f>
        <v/>
      </c>
    </row>
    <row r="19">
      <c r="A19" s="14" t="inlineStr">
        <is>
          <t>공급가액 합계</t>
        </is>
      </c>
      <c r="F19" s="16" t="inlineStr"/>
      <c r="G19" s="15">
        <f>G9+G17</f>
        <v/>
      </c>
      <c r="H19" s="15">
        <f>H9+H17</f>
        <v/>
      </c>
    </row>
    <row r="20">
      <c r="A20" s="17" t="inlineStr">
        <is>
          <t>합 계 (VAT 포함)</t>
        </is>
      </c>
      <c r="G20" s="18" t="inlineStr"/>
      <c r="H20" s="19">
        <f>G19+H19</f>
        <v/>
      </c>
    </row>
  </sheetData>
  <mergeCells count="7">
    <mergeCell ref="A3:H3"/>
    <mergeCell ref="A9:F9"/>
    <mergeCell ref="A19:E19"/>
    <mergeCell ref="A17:F17"/>
    <mergeCell ref="A11:H11"/>
    <mergeCell ref="A1:H1"/>
    <mergeCell ref="A20:F20"/>
  </mergeCells>
  <printOptions horizontalCentered="1"/>
  <pageMargins left="0.75" right="0.75" top="1" bottom="1" header="0.5" footer="0.5"/>
  <pageSetup orientation="portrait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20"/>
  <sheetViews>
    <sheetView workbookViewId="0">
      <selection activeCell="A1" sqref="A1"/>
    </sheetView>
  </sheetViews>
  <sheetFormatPr baseColWidth="8" defaultRowHeight="15"/>
  <cols>
    <col width="5" customWidth="1" min="1" max="1"/>
    <col width="20" customWidth="1" min="2" max="2"/>
    <col width="32" customWidth="1" min="3" max="3"/>
    <col width="11" customWidth="1" min="4" max="4"/>
    <col width="7" customWidth="1" min="5" max="5"/>
    <col width="14" customWidth="1" min="6" max="6"/>
    <col width="15" customWidth="1" min="7" max="7"/>
    <col width="14" customWidth="1" min="8" max="8"/>
  </cols>
  <sheetData>
    <row r="1">
      <c r="A1" s="11" t="inlineStr">
        <is>
          <t>삼우비전 - 옵션 B (P2.5 표준안)</t>
        </is>
      </c>
    </row>
    <row r="3">
      <c r="A3" s="12" t="inlineStr">
        <is>
          <t>[ 커브드 LED ]  12,160 x 3,040mm  ·  P2.5  ·  해상도 4,864x1,216  ·  700cd/㎡  ·  면적 36.97㎡  ·  모듈 722EA / 캐비닛 114EA</t>
        </is>
      </c>
    </row>
    <row r="4">
      <c r="A4" s="5" t="inlineStr">
        <is>
          <t>No</t>
        </is>
      </c>
      <c r="B4" s="5" t="inlineStr">
        <is>
          <t>품명</t>
        </is>
      </c>
      <c r="C4" s="5" t="inlineStr">
        <is>
          <t>규격</t>
        </is>
      </c>
      <c r="D4" s="5" t="inlineStr">
        <is>
          <t>수량</t>
        </is>
      </c>
      <c r="E4" s="5" t="inlineStr">
        <is>
          <t>단위</t>
        </is>
      </c>
      <c r="F4" s="5" t="inlineStr">
        <is>
          <t>단가</t>
        </is>
      </c>
      <c r="G4" s="5" t="inlineStr">
        <is>
          <t>공급가액</t>
        </is>
      </c>
      <c r="H4" s="5" t="inlineStr">
        <is>
          <t>세액</t>
        </is>
      </c>
    </row>
    <row r="5">
      <c r="A5" s="7" t="n">
        <v>1</v>
      </c>
      <c r="B5" s="3" t="inlineStr">
        <is>
          <t>LED 디스플레이</t>
        </is>
      </c>
      <c r="C5" s="3" t="inlineStr">
        <is>
          <t>P2.5 SMD Die-casting</t>
        </is>
      </c>
      <c r="D5" s="13" t="n">
        <v>36.9664</v>
      </c>
      <c r="E5" s="7" t="inlineStr">
        <is>
          <t>SQM</t>
        </is>
      </c>
      <c r="F5" s="8" t="n">
        <v>950000</v>
      </c>
      <c r="G5" s="8">
        <f>D5*F5</f>
        <v/>
      </c>
      <c r="H5" s="8">
        <f>ROUND(G5*0.1,0)</f>
        <v/>
      </c>
    </row>
    <row r="6">
      <c r="A6" s="7" t="n">
        <v>2</v>
      </c>
      <c r="B6" s="3" t="inlineStr">
        <is>
          <t>프로세서</t>
        </is>
      </c>
      <c r="C6" s="3" t="inlineStr">
        <is>
          <t>NovaStar VX600</t>
        </is>
      </c>
      <c r="D6" s="13" t="n">
        <v>1</v>
      </c>
      <c r="E6" s="7" t="inlineStr">
        <is>
          <t>SET</t>
        </is>
      </c>
      <c r="F6" s="8" t="n">
        <v>2300000</v>
      </c>
      <c r="G6" s="8">
        <f>D6*F6</f>
        <v/>
      </c>
      <c r="H6" s="8">
        <f>ROUND(G6*0.1,0)</f>
        <v/>
      </c>
    </row>
    <row r="7">
      <c r="A7" s="7" t="n">
        <v>3</v>
      </c>
      <c r="B7" s="3" t="inlineStr">
        <is>
          <t>구조물/배선</t>
        </is>
      </c>
      <c r="C7" s="3" t="inlineStr">
        <is>
          <t>커브드 함체·구조물</t>
        </is>
      </c>
      <c r="D7" s="13" t="n">
        <v>1</v>
      </c>
      <c r="E7" s="7" t="inlineStr">
        <is>
          <t>SET</t>
        </is>
      </c>
      <c r="F7" s="8" t="n">
        <v>4500000</v>
      </c>
      <c r="G7" s="8">
        <f>D7*F7</f>
        <v/>
      </c>
      <c r="H7" s="8">
        <f>ROUND(G7*0.1,0)</f>
        <v/>
      </c>
    </row>
    <row r="8">
      <c r="A8" s="7" t="n">
        <v>4</v>
      </c>
      <c r="B8" s="3" t="inlineStr">
        <is>
          <t>설치공사</t>
        </is>
      </c>
      <c r="C8" s="3" t="inlineStr">
        <is>
          <t>설치·보양</t>
        </is>
      </c>
      <c r="D8" s="13" t="n">
        <v>1</v>
      </c>
      <c r="E8" s="7" t="inlineStr">
        <is>
          <t>SET</t>
        </is>
      </c>
      <c r="F8" s="8" t="n">
        <v>3500000</v>
      </c>
      <c r="G8" s="8">
        <f>D8*F8</f>
        <v/>
      </c>
      <c r="H8" s="8">
        <f>ROUND(G8*0.1,0)</f>
        <v/>
      </c>
    </row>
    <row r="9">
      <c r="A9" s="14" t="inlineStr">
        <is>
          <t>계 (VAT 별도)</t>
        </is>
      </c>
      <c r="G9" s="15">
        <f>SUM(G5:G8)</f>
        <v/>
      </c>
      <c r="H9" s="15">
        <f>SUM(H5:H8)</f>
        <v/>
      </c>
    </row>
    <row r="11">
      <c r="A11" s="12" t="inlineStr">
        <is>
          <t>[ 플랫 LED ]  7,040 x 2,720mm  ·  P2.5  ·  해상도 2,816x1,088  ·  700cd/㎡  ·  면적 19.15㎡  ·  모듈 374EA / 캐비닛 66EA</t>
        </is>
      </c>
    </row>
    <row r="12">
      <c r="A12" s="5" t="inlineStr">
        <is>
          <t>No</t>
        </is>
      </c>
      <c r="B12" s="5" t="inlineStr">
        <is>
          <t>품명</t>
        </is>
      </c>
      <c r="C12" s="5" t="inlineStr">
        <is>
          <t>규격</t>
        </is>
      </c>
      <c r="D12" s="5" t="inlineStr">
        <is>
          <t>수량</t>
        </is>
      </c>
      <c r="E12" s="5" t="inlineStr">
        <is>
          <t>단위</t>
        </is>
      </c>
      <c r="F12" s="5" t="inlineStr">
        <is>
          <t>단가</t>
        </is>
      </c>
      <c r="G12" s="5" t="inlineStr">
        <is>
          <t>공급가액</t>
        </is>
      </c>
      <c r="H12" s="5" t="inlineStr">
        <is>
          <t>세액</t>
        </is>
      </c>
    </row>
    <row r="13">
      <c r="A13" s="7" t="n">
        <v>1</v>
      </c>
      <c r="B13" s="3" t="inlineStr">
        <is>
          <t>LED 디스플레이</t>
        </is>
      </c>
      <c r="C13" s="3" t="inlineStr">
        <is>
          <t>P2.5 SMD Die-casting</t>
        </is>
      </c>
      <c r="D13" s="13" t="n">
        <v>19.1488</v>
      </c>
      <c r="E13" s="7" t="inlineStr">
        <is>
          <t>SQM</t>
        </is>
      </c>
      <c r="F13" s="8" t="n">
        <v>950000</v>
      </c>
      <c r="G13" s="8">
        <f>D13*F13</f>
        <v/>
      </c>
      <c r="H13" s="8">
        <f>ROUND(G13*0.1,0)</f>
        <v/>
      </c>
    </row>
    <row r="14">
      <c r="A14" s="7" t="n">
        <v>2</v>
      </c>
      <c r="B14" s="3" t="inlineStr">
        <is>
          <t>프로세서</t>
        </is>
      </c>
      <c r="C14" s="3" t="inlineStr">
        <is>
          <t>NovaStar VX400</t>
        </is>
      </c>
      <c r="D14" s="13" t="n">
        <v>1</v>
      </c>
      <c r="E14" s="7" t="inlineStr">
        <is>
          <t>SET</t>
        </is>
      </c>
      <c r="F14" s="8" t="n">
        <v>1500000</v>
      </c>
      <c r="G14" s="8">
        <f>D14*F14</f>
        <v/>
      </c>
      <c r="H14" s="8">
        <f>ROUND(G14*0.1,0)</f>
        <v/>
      </c>
    </row>
    <row r="15">
      <c r="A15" s="7" t="n">
        <v>3</v>
      </c>
      <c r="B15" s="3" t="inlineStr">
        <is>
          <t>구조물/배선</t>
        </is>
      </c>
      <c r="C15" s="3" t="inlineStr">
        <is>
          <t>평면 함체·구조물</t>
        </is>
      </c>
      <c r="D15" s="13" t="n">
        <v>1</v>
      </c>
      <c r="E15" s="7" t="inlineStr">
        <is>
          <t>SET</t>
        </is>
      </c>
      <c r="F15" s="8" t="n">
        <v>3000000</v>
      </c>
      <c r="G15" s="8">
        <f>D15*F15</f>
        <v/>
      </c>
      <c r="H15" s="8">
        <f>ROUND(G15*0.1,0)</f>
        <v/>
      </c>
    </row>
    <row r="16">
      <c r="A16" s="7" t="n">
        <v>4</v>
      </c>
      <c r="B16" s="3" t="inlineStr">
        <is>
          <t>설치공사</t>
        </is>
      </c>
      <c r="C16" s="3" t="inlineStr">
        <is>
          <t>설치·보양</t>
        </is>
      </c>
      <c r="D16" s="13" t="n">
        <v>1</v>
      </c>
      <c r="E16" s="7" t="inlineStr">
        <is>
          <t>SET</t>
        </is>
      </c>
      <c r="F16" s="8" t="n">
        <v>2600000</v>
      </c>
      <c r="G16" s="8">
        <f>D16*F16</f>
        <v/>
      </c>
      <c r="H16" s="8">
        <f>ROUND(G16*0.1,0)</f>
        <v/>
      </c>
    </row>
    <row r="17">
      <c r="A17" s="14" t="inlineStr">
        <is>
          <t>계 (VAT 별도)</t>
        </is>
      </c>
      <c r="G17" s="15">
        <f>SUM(G13:G16)</f>
        <v/>
      </c>
      <c r="H17" s="15">
        <f>SUM(H13:H16)</f>
        <v/>
      </c>
    </row>
    <row r="19">
      <c r="A19" s="14" t="inlineStr">
        <is>
          <t>공급가액 합계</t>
        </is>
      </c>
      <c r="F19" s="16" t="inlineStr"/>
      <c r="G19" s="15">
        <f>G9+G17</f>
        <v/>
      </c>
      <c r="H19" s="15">
        <f>H9+H17</f>
        <v/>
      </c>
    </row>
    <row r="20">
      <c r="A20" s="17" t="inlineStr">
        <is>
          <t>합 계 (VAT 포함)</t>
        </is>
      </c>
      <c r="G20" s="18" t="inlineStr"/>
      <c r="H20" s="19">
        <f>G19+H19</f>
        <v/>
      </c>
    </row>
  </sheetData>
  <mergeCells count="7">
    <mergeCell ref="A3:H3"/>
    <mergeCell ref="A9:F9"/>
    <mergeCell ref="A19:E19"/>
    <mergeCell ref="A17:F17"/>
    <mergeCell ref="A11:H11"/>
    <mergeCell ref="A1:H1"/>
    <mergeCell ref="A20:F20"/>
  </mergeCells>
  <printOptions horizontalCentered="1"/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2026-06-01T07:53:00Z</dcterms:created>
  <dcterms:modified xmlns:dcterms="http://purl.org/dc/terms/" xmlns:xsi="http://www.w3.org/2001/XMLSchema-instance" xsi:type="dcterms:W3CDTF">2026-06-01T07:53:00Z</dcterms:modified>
</cp:coreProperties>
</file>