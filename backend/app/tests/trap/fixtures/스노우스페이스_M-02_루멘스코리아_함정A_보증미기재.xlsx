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갑지" sheetId="1" state="visible" r:id="rId1"/>
    <sheet xmlns:r="http://schemas.openxmlformats.org/officeDocument/2006/relationships" name="커브드" sheetId="2" state="visible" r:id="rId2"/>
    <sheet xmlns:r="http://schemas.openxmlformats.org/officeDocument/2006/relationships" name="플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9">
    <font>
      <name val="Calibri"/>
      <family val="2"/>
      <color theme="1"/>
      <sz val="11"/>
      <scheme val="minor"/>
    </font>
    <font>
      <name val="Noto Sans CJK KR"/>
      <b val="1"/>
      <color rgb="00000000"/>
      <sz val="13"/>
    </font>
    <font>
      <name val="Noto Sans CJK KR"/>
      <b val="1"/>
      <color rgb="00000000"/>
      <sz val="10"/>
    </font>
    <font>
      <name val="Noto Sans CJK KR"/>
      <b val="1"/>
      <color rgb="00FFFFFF"/>
      <sz val="10"/>
    </font>
    <font>
      <name val="Noto Sans CJK KR"/>
      <color rgb="00000000"/>
      <sz val="10"/>
    </font>
    <font>
      <name val="Noto Sans CJK KR"/>
      <b val="1"/>
      <color rgb="00000000"/>
      <sz val="20"/>
    </font>
    <font>
      <name val="Noto Sans CJK KR"/>
      <b val="1"/>
      <color rgb="00FFFFFF"/>
      <sz val="13"/>
    </font>
    <font>
      <name val="Noto Sans CJK KR"/>
      <color rgb="00000000"/>
      <sz val="9"/>
    </font>
    <font>
      <name val="Noto Sans CJK KR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DDE7F1"/>
      </patternFill>
    </fill>
    <fill>
      <patternFill patternType="solid">
        <fgColor rgb="002F3640"/>
      </patternFill>
    </fill>
    <fill>
      <patternFill patternType="solid">
        <fgColor rgb="00EEF3F8"/>
      </patternFill>
    </fill>
    <fill>
      <patternFill patternType="solid">
        <fgColor rgb="000B4A8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9" customWidth="1" min="4" max="4"/>
    <col width="7" customWidth="1" min="5" max="5"/>
    <col width="14" customWidth="1" min="6" max="6"/>
    <col width="15" customWidth="1" min="7" max="7"/>
    <col width="14" customWidth="1" min="8" max="8"/>
  </cols>
  <sheetData>
    <row r="1" ht="32" customHeight="1">
      <c r="A1" s="1" t="inlineStr">
        <is>
          <t>견 적 서 / ESTIMATE</t>
        </is>
      </c>
    </row>
    <row r="2">
      <c r="A2" s="2" t="inlineStr">
        <is>
          <t>수신</t>
        </is>
      </c>
      <c r="B2" s="3" t="inlineStr">
        <is>
          <t>스노우스페이스 귀하</t>
        </is>
      </c>
      <c r="D2" s="2" t="inlineStr">
        <is>
          <t>상호명</t>
        </is>
      </c>
      <c r="E2" s="3" t="inlineStr">
        <is>
          <t>루멘스코리아</t>
        </is>
      </c>
    </row>
    <row r="3">
      <c r="A3" s="2" t="inlineStr">
        <is>
          <t>건명</t>
        </is>
      </c>
      <c r="B3" s="3" t="inlineStr">
        <is>
          <t>홍대 컨퍼런스룸 커브드+평면 LED전광판 구축</t>
        </is>
      </c>
      <c r="D3" s="2" t="inlineStr">
        <is>
          <t>대표자</t>
        </is>
      </c>
      <c r="E3" s="3" t="inlineStr">
        <is>
          <t>정현우</t>
        </is>
      </c>
    </row>
    <row r="4">
      <c r="A4" s="2" t="inlineStr">
        <is>
          <t>견적일</t>
        </is>
      </c>
      <c r="B4" s="3" t="inlineStr">
        <is>
          <t>2026-01-20</t>
        </is>
      </c>
      <c r="D4" s="2" t="inlineStr">
        <is>
          <t>사업자번호</t>
        </is>
      </c>
      <c r="E4" s="3" t="inlineStr">
        <is>
          <t>129-81-77450</t>
        </is>
      </c>
    </row>
    <row r="5">
      <c r="A5" s="2" t="inlineStr">
        <is>
          <t>문서번호</t>
        </is>
      </c>
      <c r="B5" s="3" t="inlineStr">
        <is>
          <t>20260120-LK01</t>
        </is>
      </c>
      <c r="D5" s="2" t="inlineStr">
        <is>
          <t>연락처</t>
        </is>
      </c>
      <c r="E5" s="3" t="inlineStr">
        <is>
          <t>031-426-8800 / info@lumenskorea.com</t>
        </is>
      </c>
    </row>
    <row r="6">
      <c r="A6" s="2" t="inlineStr">
        <is>
          <t>유효기간</t>
        </is>
      </c>
      <c r="B6" s="3" t="inlineStr">
        <is>
          <t>견적일로부터 14일</t>
        </is>
      </c>
      <c r="D6" s="2" t="inlineStr">
        <is>
          <t>주소</t>
        </is>
      </c>
      <c r="E6" s="3" t="inlineStr">
        <is>
          <t>경기도 안양시 동안구 시민대로 327, 디지털엠파이어 A동 1102호</t>
        </is>
      </c>
    </row>
    <row r="8">
      <c r="A8" s="4" t="inlineStr">
        <is>
          <t>합계금액 (VAT 포함)</t>
        </is>
      </c>
      <c r="E8" s="5">
        <f>H13</f>
        <v/>
      </c>
    </row>
    <row r="10">
      <c r="A10" s="6" t="inlineStr">
        <is>
          <t>No</t>
        </is>
      </c>
      <c r="B10" s="6" t="inlineStr">
        <is>
          <t>품명(제품)</t>
        </is>
      </c>
      <c r="C10" s="6" t="inlineStr">
        <is>
          <t>규격</t>
        </is>
      </c>
      <c r="D10" s="6" t="inlineStr">
        <is>
          <t>Pitch</t>
        </is>
      </c>
      <c r="E10" s="6" t="inlineStr">
        <is>
          <t>밝기</t>
        </is>
      </c>
      <c r="F10" s="6" t="inlineStr">
        <is>
          <t>VAT별도</t>
        </is>
      </c>
      <c r="G10" s="6" t="inlineStr">
        <is>
          <t>세액</t>
        </is>
      </c>
      <c r="H10" s="6" t="inlineStr">
        <is>
          <t>VAT포함</t>
        </is>
      </c>
    </row>
    <row r="11">
      <c r="A11" s="7" t="n">
        <v>1</v>
      </c>
      <c r="B11" s="3" t="inlineStr">
        <is>
          <t>커브드 LED</t>
        </is>
      </c>
      <c r="C11" s="3" t="inlineStr">
        <is>
          <t>12,160 x 3,040mm (상세: '커브드' 시트)</t>
        </is>
      </c>
      <c r="D11" s="7" t="inlineStr">
        <is>
          <t>P2.5</t>
        </is>
      </c>
      <c r="E11" s="7" t="inlineStr">
        <is>
          <t>600cd/㎡</t>
        </is>
      </c>
      <c r="F11" s="8">
        <f>'커브드'!G9</f>
        <v/>
      </c>
      <c r="G11" s="8">
        <f>'커브드'!H9</f>
        <v/>
      </c>
      <c r="H11" s="8">
        <f>'커브드'!H10</f>
        <v/>
      </c>
    </row>
    <row r="12">
      <c r="A12" s="7" t="n">
        <v>2</v>
      </c>
      <c r="B12" s="3" t="inlineStr">
        <is>
          <t>플랫 LED</t>
        </is>
      </c>
      <c r="C12" s="3" t="inlineStr">
        <is>
          <t>7,040 x 2,720mm (상세: '플랫' 시트)</t>
        </is>
      </c>
      <c r="D12" s="7" t="inlineStr">
        <is>
          <t>P2.5</t>
        </is>
      </c>
      <c r="E12" s="7" t="inlineStr">
        <is>
          <t>600cd/㎡</t>
        </is>
      </c>
      <c r="F12" s="8">
        <f>'플랫'!G9</f>
        <v/>
      </c>
      <c r="G12" s="8">
        <f>'플랫'!H9</f>
        <v/>
      </c>
      <c r="H12" s="8">
        <f>'플랫'!H10</f>
        <v/>
      </c>
    </row>
    <row r="13">
      <c r="A13" s="2" t="inlineStr">
        <is>
          <t>합 계</t>
        </is>
      </c>
      <c r="B13" s="9" t="inlineStr"/>
      <c r="F13" s="10">
        <f>SUM(F11:F12)</f>
        <v/>
      </c>
      <c r="G13" s="10">
        <f>SUM(G11:G12)</f>
        <v/>
      </c>
      <c r="H13" s="10">
        <f>SUM(H11:H12)</f>
        <v/>
      </c>
    </row>
    <row r="15">
      <c r="A15" s="11" t="inlineStr">
        <is>
          <t>특 이 사 항</t>
        </is>
      </c>
    </row>
    <row r="16">
      <c r="A16" s="12" t="inlineStr">
        <is>
          <t>▶ 납기(도입 가능일): 발주 후 45일 (설계 변경 시 추가일수 적용)</t>
        </is>
      </c>
    </row>
    <row r="17">
      <c r="A17" s="12"/>
    </row>
    <row r="18">
      <c r="A18" s="12" t="inlineStr">
        <is>
          <t>▶ 소프트웨어(운영 PC/CMS): 미포함</t>
        </is>
      </c>
    </row>
    <row r="19">
      <c r="A19" s="12" t="inlineStr">
        <is>
          <t>▶ 선금 50% / 잔금 50%</t>
        </is>
      </c>
    </row>
    <row r="20">
      <c r="A20" s="12" t="inlineStr">
        <is>
          <t>▶ 예비견적이며 실사 후 변동 가능</t>
        </is>
      </c>
    </row>
    <row r="21">
      <c r="A21" s="12" t="inlineStr">
        <is>
          <t>▶ 유효기간 견적일로부터 2주</t>
        </is>
      </c>
    </row>
  </sheetData>
  <mergeCells count="21">
    <mergeCell ref="A8:D8"/>
    <mergeCell ref="A15:H15"/>
    <mergeCell ref="B3:C3"/>
    <mergeCell ref="A1:H1"/>
    <mergeCell ref="E2:H2"/>
    <mergeCell ref="B2:C2"/>
    <mergeCell ref="E3:H3"/>
    <mergeCell ref="A16:H16"/>
    <mergeCell ref="E5:H5"/>
    <mergeCell ref="A18:H18"/>
    <mergeCell ref="A21:H21"/>
    <mergeCell ref="E8:H8"/>
    <mergeCell ref="E4:H4"/>
    <mergeCell ref="A17:H17"/>
    <mergeCell ref="B6:C6"/>
    <mergeCell ref="A20:H20"/>
    <mergeCell ref="B5:C5"/>
    <mergeCell ref="B13:E13"/>
    <mergeCell ref="E6:H6"/>
    <mergeCell ref="A19:H19"/>
    <mergeCell ref="B4:C4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1" customWidth="1" min="4" max="4"/>
    <col width="7" customWidth="1" min="5" max="5"/>
    <col width="14" customWidth="1" min="6" max="6"/>
    <col width="15" customWidth="1" min="7" max="7"/>
    <col width="14" customWidth="1" min="8" max="8"/>
  </cols>
  <sheetData>
    <row r="1">
      <c r="A1" s="13" t="inlineStr">
        <is>
          <t>루멘스코리아 - 커브드 LED 상세 견적</t>
        </is>
      </c>
    </row>
    <row r="3">
      <c r="A3" s="14" t="inlineStr">
        <is>
          <t>[ 커브드 LED ]  12,160 x 3,040mm  ·  P2.5  ·  해상도 4,864x1,216  ·  600cd/㎡  ·  면적 36.97㎡  ·  모듈 722EA / 캐비닛 114EA</t>
        </is>
      </c>
    </row>
    <row r="4">
      <c r="A4" s="6" t="inlineStr">
        <is>
          <t>No</t>
        </is>
      </c>
      <c r="B4" s="6" t="inlineStr">
        <is>
          <t>품명</t>
        </is>
      </c>
      <c r="C4" s="6" t="inlineStr">
        <is>
          <t>규격</t>
        </is>
      </c>
      <c r="D4" s="6" t="inlineStr">
        <is>
          <t>수량</t>
        </is>
      </c>
      <c r="E4" s="6" t="inlineStr">
        <is>
          <t>단위</t>
        </is>
      </c>
      <c r="F4" s="6" t="inlineStr">
        <is>
          <t>단가</t>
        </is>
      </c>
      <c r="G4" s="6" t="inlineStr">
        <is>
          <t>공급가액</t>
        </is>
      </c>
      <c r="H4" s="6" t="inlineStr">
        <is>
          <t>세액</t>
        </is>
      </c>
    </row>
    <row r="5">
      <c r="A5" s="7" t="n">
        <v>1</v>
      </c>
      <c r="B5" s="3" t="inlineStr">
        <is>
          <t>LED 디스플레이</t>
        </is>
      </c>
      <c r="C5" s="3" t="inlineStr">
        <is>
          <t>GSR-Flex P2.5 Die-casting</t>
        </is>
      </c>
      <c r="D5" s="15" t="n">
        <v>1</v>
      </c>
      <c r="E5" s="7" t="inlineStr">
        <is>
          <t>SET</t>
        </is>
      </c>
      <c r="F5" s="8" t="n">
        <v>22000000</v>
      </c>
      <c r="G5" s="8">
        <f>D5*F5</f>
        <v/>
      </c>
      <c r="H5" s="8">
        <f>ROUND(G5*0.1,0)</f>
        <v/>
      </c>
    </row>
    <row r="6">
      <c r="A6" s="7" t="n">
        <v>2</v>
      </c>
      <c r="B6" s="3" t="inlineStr">
        <is>
          <t>LED Controller</t>
        </is>
      </c>
      <c r="C6" s="3" t="inlineStr">
        <is>
          <t>Colorlight X16m</t>
        </is>
      </c>
      <c r="D6" s="15" t="n">
        <v>1</v>
      </c>
      <c r="E6" s="7" t="inlineStr">
        <is>
          <t>SET</t>
        </is>
      </c>
      <c r="F6" s="8" t="n">
        <v>1100000</v>
      </c>
      <c r="G6" s="8">
        <f>D6*F6</f>
        <v/>
      </c>
      <c r="H6" s="8">
        <f>ROUND(G6*0.1,0)</f>
        <v/>
      </c>
    </row>
    <row r="7">
      <c r="A7" s="7" t="n">
        <v>3</v>
      </c>
      <c r="B7" s="3" t="inlineStr">
        <is>
          <t>구조물/Cable/배전반</t>
        </is>
      </c>
      <c r="C7" s="3" t="inlineStr">
        <is>
          <t>함체·구조물 제작</t>
        </is>
      </c>
      <c r="D7" s="15" t="n">
        <v>1</v>
      </c>
      <c r="E7" s="7" t="inlineStr">
        <is>
          <t>SET</t>
        </is>
      </c>
      <c r="F7" s="8" t="n">
        <v>5000000</v>
      </c>
      <c r="G7" s="8">
        <f>D7*F7</f>
        <v/>
      </c>
      <c r="H7" s="8">
        <f>ROUND(G7*0.1,0)</f>
        <v/>
      </c>
    </row>
    <row r="8">
      <c r="A8" s="7" t="n">
        <v>4</v>
      </c>
      <c r="B8" s="3" t="inlineStr">
        <is>
          <t>설치공사 인건비</t>
        </is>
      </c>
      <c r="C8" s="3" t="inlineStr">
        <is>
          <t>LED/구조물 설치</t>
        </is>
      </c>
      <c r="D8" s="15" t="n">
        <v>1</v>
      </c>
      <c r="E8" s="7" t="inlineStr">
        <is>
          <t>SET</t>
        </is>
      </c>
      <c r="F8" s="8" t="n">
        <v>2400000</v>
      </c>
      <c r="G8" s="8">
        <f>D8*F8</f>
        <v/>
      </c>
      <c r="H8" s="8">
        <f>ROUND(G8*0.1,0)</f>
        <v/>
      </c>
    </row>
    <row r="9">
      <c r="A9" s="16" t="inlineStr">
        <is>
          <t>계 (VAT 별도)</t>
        </is>
      </c>
      <c r="G9" s="10">
        <f>SUM(G5:G8)</f>
        <v/>
      </c>
      <c r="H9" s="10">
        <f>SUM(H5:H8)</f>
        <v/>
      </c>
    </row>
    <row r="10">
      <c r="A10" s="17" t="inlineStr">
        <is>
          <t>VAT 포함 합계</t>
        </is>
      </c>
      <c r="G10" s="18" t="inlineStr"/>
      <c r="H10" s="19">
        <f>G9+H9</f>
        <v/>
      </c>
    </row>
  </sheetData>
  <mergeCells count="4">
    <mergeCell ref="A3:H3"/>
    <mergeCell ref="A10:F10"/>
    <mergeCell ref="A9:F9"/>
    <mergeCell ref="A1:H1"/>
  </mergeCell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1" customWidth="1" min="4" max="4"/>
    <col width="7" customWidth="1" min="5" max="5"/>
    <col width="14" customWidth="1" min="6" max="6"/>
    <col width="15" customWidth="1" min="7" max="7"/>
    <col width="14" customWidth="1" min="8" max="8"/>
  </cols>
  <sheetData>
    <row r="1">
      <c r="A1" s="13" t="inlineStr">
        <is>
          <t>루멘스코리아 - 플랫 LED 상세 견적</t>
        </is>
      </c>
    </row>
    <row r="3">
      <c r="A3" s="14" t="inlineStr">
        <is>
          <t>[ 플랫 LED ]  7,040 x 2,720mm  ·  P2.5  ·  해상도 2,816x1,088  ·  600cd/㎡  ·  면적 19.15㎡  ·  모듈 374EA / 캐비닛 66EA</t>
        </is>
      </c>
    </row>
    <row r="4">
      <c r="A4" s="6" t="inlineStr">
        <is>
          <t>No</t>
        </is>
      </c>
      <c r="B4" s="6" t="inlineStr">
        <is>
          <t>품명</t>
        </is>
      </c>
      <c r="C4" s="6" t="inlineStr">
        <is>
          <t>규격</t>
        </is>
      </c>
      <c r="D4" s="6" t="inlineStr">
        <is>
          <t>수량</t>
        </is>
      </c>
      <c r="E4" s="6" t="inlineStr">
        <is>
          <t>단위</t>
        </is>
      </c>
      <c r="F4" s="6" t="inlineStr">
        <is>
          <t>단가</t>
        </is>
      </c>
      <c r="G4" s="6" t="inlineStr">
        <is>
          <t>공급가액</t>
        </is>
      </c>
      <c r="H4" s="6" t="inlineStr">
        <is>
          <t>세액</t>
        </is>
      </c>
    </row>
    <row r="5">
      <c r="A5" s="7" t="n">
        <v>1</v>
      </c>
      <c r="B5" s="3" t="inlineStr">
        <is>
          <t>LED 디스플레이</t>
        </is>
      </c>
      <c r="C5" s="3" t="inlineStr">
        <is>
          <t>GSR P2.5 Die-casting</t>
        </is>
      </c>
      <c r="D5" s="15" t="n">
        <v>1</v>
      </c>
      <c r="E5" s="7" t="inlineStr">
        <is>
          <t>SET</t>
        </is>
      </c>
      <c r="F5" s="8" t="n">
        <v>13000000</v>
      </c>
      <c r="G5" s="8">
        <f>D5*F5</f>
        <v/>
      </c>
      <c r="H5" s="8">
        <f>ROUND(G5*0.1,0)</f>
        <v/>
      </c>
    </row>
    <row r="6">
      <c r="A6" s="7" t="n">
        <v>2</v>
      </c>
      <c r="B6" s="3" t="inlineStr">
        <is>
          <t>LED Controller</t>
        </is>
      </c>
      <c r="C6" s="3" t="inlineStr">
        <is>
          <t>Colorlight X8m</t>
        </is>
      </c>
      <c r="D6" s="15" t="n">
        <v>1</v>
      </c>
      <c r="E6" s="7" t="inlineStr">
        <is>
          <t>SET</t>
        </is>
      </c>
      <c r="F6" s="8" t="n">
        <v>1100000</v>
      </c>
      <c r="G6" s="8">
        <f>D6*F6</f>
        <v/>
      </c>
      <c r="H6" s="8">
        <f>ROUND(G6*0.1,0)</f>
        <v/>
      </c>
    </row>
    <row r="7">
      <c r="A7" s="7" t="n">
        <v>3</v>
      </c>
      <c r="B7" s="3" t="inlineStr">
        <is>
          <t>구조물/Cable/배전반</t>
        </is>
      </c>
      <c r="C7" s="3" t="inlineStr">
        <is>
          <t>함체·구조물 제작</t>
        </is>
      </c>
      <c r="D7" s="15" t="n">
        <v>1</v>
      </c>
      <c r="E7" s="7" t="inlineStr">
        <is>
          <t>SET</t>
        </is>
      </c>
      <c r="F7" s="8" t="n">
        <v>8200000</v>
      </c>
      <c r="G7" s="8">
        <f>D7*F7</f>
        <v/>
      </c>
      <c r="H7" s="8">
        <f>ROUND(G7*0.1,0)</f>
        <v/>
      </c>
    </row>
    <row r="8">
      <c r="A8" s="7" t="n">
        <v>4</v>
      </c>
      <c r="B8" s="3" t="inlineStr">
        <is>
          <t>설치공사 인건비</t>
        </is>
      </c>
      <c r="C8" s="3" t="inlineStr">
        <is>
          <t>LED/구조물 설치</t>
        </is>
      </c>
      <c r="D8" s="15" t="n">
        <v>1</v>
      </c>
      <c r="E8" s="7" t="inlineStr">
        <is>
          <t>SET</t>
        </is>
      </c>
      <c r="F8" s="8" t="n">
        <v>2700000</v>
      </c>
      <c r="G8" s="8">
        <f>D8*F8</f>
        <v/>
      </c>
      <c r="H8" s="8">
        <f>ROUND(G8*0.1,0)</f>
        <v/>
      </c>
    </row>
    <row r="9">
      <c r="A9" s="16" t="inlineStr">
        <is>
          <t>계 (VAT 별도)</t>
        </is>
      </c>
      <c r="G9" s="10">
        <f>SUM(G5:G8)</f>
        <v/>
      </c>
      <c r="H9" s="10">
        <f>SUM(H5:H8)</f>
        <v/>
      </c>
    </row>
    <row r="10">
      <c r="A10" s="17" t="inlineStr">
        <is>
          <t>VAT 포함 합계</t>
        </is>
      </c>
      <c r="G10" s="18" t="inlineStr"/>
      <c r="H10" s="19">
        <f>G9+H9</f>
        <v/>
      </c>
    </row>
  </sheetData>
  <mergeCells count="4">
    <mergeCell ref="A3:H3"/>
    <mergeCell ref="A10:F10"/>
    <mergeCell ref="A9:F9"/>
    <mergeCell ref="A1:H1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2026-06-01T07:53:00Z</dcterms:created>
  <dcterms:modified xmlns:dcterms="http://purl.org/dc/terms/" xmlns:xsi="http://www.w3.org/2001/XMLSchema-instance" xsi:type="dcterms:W3CDTF">2026-06-01T07:53:00Z</dcterms:modified>
</cp:coreProperties>
</file>