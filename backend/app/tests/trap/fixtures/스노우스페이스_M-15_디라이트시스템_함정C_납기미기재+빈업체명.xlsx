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5">
    <font>
      <name val="Calibri"/>
      <family val="2"/>
      <color theme="1"/>
      <sz val="11"/>
      <scheme val="minor"/>
    </font>
    <font>
      <name val="Noto Sans CJK KR"/>
      <b val="1"/>
      <color rgb="00FFFFFF"/>
      <sz val="20"/>
    </font>
    <font>
      <name val="Noto Sans CJK KR"/>
      <b val="1"/>
      <color rgb="00FFFFFF"/>
      <sz val="11"/>
    </font>
    <font>
      <name val="Noto Sans CJK KR"/>
      <b val="1"/>
      <color rgb="00004D40"/>
      <sz val="8"/>
    </font>
    <font>
      <name val="Noto Sans CJK KR"/>
      <color rgb="00000000"/>
      <sz val="8.5"/>
    </font>
    <font>
      <name val="Noto Sans CJK KR"/>
      <b val="1"/>
      <color rgb="00FFFFFF"/>
      <sz val="13"/>
    </font>
    <font>
      <name val="Noto Sans CJK KR"/>
      <b val="1"/>
      <color rgb="00FFFFFF"/>
      <sz val="10"/>
    </font>
    <font>
      <name val="Noto Sans CJK KR"/>
      <b val="1"/>
      <color rgb="00004D40"/>
      <sz val="9"/>
    </font>
    <font>
      <name val="Noto Sans CJK KR"/>
      <color rgb="00000000"/>
      <sz val="9"/>
    </font>
    <font>
      <name val="Noto Sans CJK KR"/>
      <color rgb="00000000"/>
      <sz val="8.300000000000001"/>
    </font>
    <font>
      <name val="Noto Sans CJK KR"/>
      <b val="1"/>
      <color rgb="00004D40"/>
      <sz val="10"/>
    </font>
    <font>
      <name val="Noto Sans CJK KR"/>
      <b val="1"/>
      <color rgb="00000000"/>
      <sz val="10"/>
    </font>
    <font>
      <name val="Noto Sans CJK KR"/>
      <b val="1"/>
      <color rgb="00FFFFFF"/>
      <sz val="12"/>
    </font>
    <font>
      <name val="Noto Sans CJK KR"/>
      <b val="1"/>
      <color rgb="00FFFFFF"/>
      <sz val="14"/>
    </font>
    <font>
      <name val="Noto Sans CJK KR"/>
      <color rgb="00000000"/>
      <sz val="8.699999999999999"/>
    </font>
  </fonts>
  <fills count="6">
    <fill>
      <patternFill/>
    </fill>
    <fill>
      <patternFill patternType="gray125"/>
    </fill>
    <fill>
      <patternFill patternType="solid">
        <fgColor rgb="0000897B"/>
      </patternFill>
    </fill>
    <fill>
      <patternFill patternType="solid">
        <fgColor rgb="00004D40"/>
      </patternFill>
    </fill>
    <fill>
      <patternFill patternType="solid">
        <fgColor rgb="00B2DFDB"/>
      </patternFill>
    </fill>
    <fill>
      <patternFill patternType="solid">
        <fgColor rgb="00E0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3" fontId="13" fillId="3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center" vertical="center"/>
    </xf>
    <xf numFmtId="3" fontId="8" fillId="5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right" vertical="center"/>
    </xf>
    <xf numFmtId="3" fontId="10" fillId="4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right" vertical="center"/>
    </xf>
    <xf numFmtId="3" fontId="11" fillId="5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3" fontId="12" fillId="3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9" customWidth="1" min="4" max="4"/>
    <col width="7" customWidth="1" min="5" max="5"/>
    <col width="14" customWidth="1" min="6" max="6"/>
    <col width="15" customWidth="1" min="7" max="7"/>
    <col width="14" customWidth="1" min="8" max="8"/>
  </cols>
  <sheetData>
    <row r="1" ht="22" customHeight="1">
      <c r="A1" s="1"/>
      <c r="G1" s="2" t="inlineStr">
        <is>
          <t>QUOTATION
견적서</t>
        </is>
      </c>
    </row>
    <row r="2" ht="22" customHeight="1"/>
    <row r="3">
      <c r="A3" s="3" t="inlineStr">
        <is>
          <t>TO</t>
        </is>
      </c>
      <c r="B3" s="4" t="inlineStr">
        <is>
          <t>스노우스페이스</t>
        </is>
      </c>
      <c r="D3" s="3" t="inlineStr">
        <is>
          <t>DATE</t>
        </is>
      </c>
      <c r="E3" s="4" t="inlineStr">
        <is>
          <t>2026-01-21</t>
        </is>
      </c>
      <c r="G3" s="3" t="inlineStr">
        <is>
          <t>NO</t>
        </is>
      </c>
      <c r="H3" s="4" t="inlineStr">
        <is>
          <t>DL-2026-0156</t>
        </is>
      </c>
    </row>
    <row r="4">
      <c r="A4" s="3" t="inlineStr">
        <is>
          <t>PROJECT</t>
        </is>
      </c>
      <c r="B4" s="4" t="inlineStr">
        <is>
          <t>홍대 컨퍼런스룸 커브드+평면 LED전광판 구축</t>
        </is>
      </c>
      <c r="D4" s="3" t="inlineStr">
        <is>
          <t>대표</t>
        </is>
      </c>
      <c r="E4" s="4" t="inlineStr">
        <is>
          <t>이도윤</t>
        </is>
      </c>
      <c r="G4" s="3" t="inlineStr">
        <is>
          <t>TEL</t>
        </is>
      </c>
      <c r="H4" s="4" t="inlineStr">
        <is>
          <t>031-405-6600</t>
        </is>
      </c>
    </row>
    <row r="6" ht="26" customHeight="1">
      <c r="A6" s="5" t="inlineStr">
        <is>
          <t>TOTAL (VAT 포함)</t>
        </is>
      </c>
      <c r="E6" s="6">
        <f>G25</f>
        <v/>
      </c>
    </row>
    <row r="8" ht="20" customHeight="1">
      <c r="A8" s="7" t="inlineStr">
        <is>
          <t xml:space="preserve">  커브드 LED   ·   12,000×3,000mm   ·   P2.0   ·   800cd/㎡   ·   6,000×1,500px   ·   36.00㎡</t>
        </is>
      </c>
    </row>
    <row r="9">
      <c r="A9" s="8" t="inlineStr">
        <is>
          <t>No</t>
        </is>
      </c>
      <c r="B9" s="8" t="inlineStr">
        <is>
          <t>품목</t>
        </is>
      </c>
      <c r="C9" s="8" t="inlineStr">
        <is>
          <t>규격</t>
        </is>
      </c>
      <c r="D9" s="8" t="inlineStr">
        <is>
          <t>수량</t>
        </is>
      </c>
      <c r="E9" s="8" t="inlineStr">
        <is>
          <t>단위</t>
        </is>
      </c>
      <c r="F9" s="8" t="inlineStr">
        <is>
          <t>단가</t>
        </is>
      </c>
      <c r="G9" s="8" t="inlineStr">
        <is>
          <t>공급가액</t>
        </is>
      </c>
      <c r="H9" s="8" t="inlineStr">
        <is>
          <t>세액</t>
        </is>
      </c>
    </row>
    <row r="10">
      <c r="A10" s="9" t="n">
        <v>1</v>
      </c>
      <c r="B10" s="10" t="inlineStr">
        <is>
          <t>LED 디스플레이</t>
        </is>
      </c>
      <c r="C10" s="11" t="inlineStr">
        <is>
          <t>P2.0 SMD Die-casting</t>
        </is>
      </c>
      <c r="D10" s="12" t="n">
        <v>36</v>
      </c>
      <c r="E10" s="9" t="inlineStr">
        <is>
          <t>SQM</t>
        </is>
      </c>
      <c r="F10" s="13" t="n">
        <v>1150000</v>
      </c>
      <c r="G10" s="13">
        <f>D10*F10</f>
        <v/>
      </c>
      <c r="H10" s="13">
        <f>ROUND(G10*0.1,0)</f>
        <v/>
      </c>
    </row>
    <row r="11">
      <c r="A11" s="14" t="n">
        <v>2</v>
      </c>
      <c r="B11" s="15" t="inlineStr">
        <is>
          <t>프로세서</t>
        </is>
      </c>
      <c r="C11" s="16" t="inlineStr">
        <is>
          <t>NovaStar VX1000</t>
        </is>
      </c>
      <c r="D11" s="17" t="n">
        <v>1</v>
      </c>
      <c r="E11" s="14" t="inlineStr">
        <is>
          <t>SET</t>
        </is>
      </c>
      <c r="F11" s="18" t="n">
        <v>3600000</v>
      </c>
      <c r="G11" s="18">
        <f>D11*F11</f>
        <v/>
      </c>
      <c r="H11" s="18">
        <f>ROUND(G11*0.1,0)</f>
        <v/>
      </c>
    </row>
    <row r="12">
      <c r="A12" s="9" t="n">
        <v>3</v>
      </c>
      <c r="B12" s="10" t="inlineStr">
        <is>
          <t>구조물/배선</t>
        </is>
      </c>
      <c r="C12" s="11" t="inlineStr">
        <is>
          <t>커브드 함체·구조물</t>
        </is>
      </c>
      <c r="D12" s="12" t="n">
        <v>1</v>
      </c>
      <c r="E12" s="9" t="inlineStr">
        <is>
          <t>SET</t>
        </is>
      </c>
      <c r="F12" s="13" t="n">
        <v>4800000</v>
      </c>
      <c r="G12" s="13">
        <f>D12*F12</f>
        <v/>
      </c>
      <c r="H12" s="13">
        <f>ROUND(G12*0.1,0)</f>
        <v/>
      </c>
    </row>
    <row r="13">
      <c r="A13" s="14" t="n">
        <v>4</v>
      </c>
      <c r="B13" s="15" t="inlineStr">
        <is>
          <t>설치공사</t>
        </is>
      </c>
      <c r="C13" s="16" t="inlineStr">
        <is>
          <t>설치·보양·폐기물</t>
        </is>
      </c>
      <c r="D13" s="17" t="n">
        <v>1</v>
      </c>
      <c r="E13" s="14" t="inlineStr">
        <is>
          <t>SET</t>
        </is>
      </c>
      <c r="F13" s="18" t="n">
        <v>4000000</v>
      </c>
      <c r="G13" s="18">
        <f>D13*F13</f>
        <v/>
      </c>
      <c r="H13" s="18">
        <f>ROUND(G13*0.1,0)</f>
        <v/>
      </c>
    </row>
    <row r="14">
      <c r="A14" s="19" t="inlineStr">
        <is>
          <t>커브드 소계 (VAT 별도)</t>
        </is>
      </c>
      <c r="G14" s="20">
        <f>SUM(G10:G13)</f>
        <v/>
      </c>
      <c r="H14" s="20">
        <f>SUM(H10:H13)</f>
        <v/>
      </c>
    </row>
    <row r="16" ht="20" customHeight="1">
      <c r="A16" s="7" t="inlineStr">
        <is>
          <t xml:space="preserve">  플랫 LED   ·   7,040×2,720mm   ·   P2.5   ·   800cd/㎡   ·   2,816×1,088px   ·   19.15㎡</t>
        </is>
      </c>
    </row>
    <row r="17">
      <c r="A17" s="8" t="inlineStr">
        <is>
          <t>No</t>
        </is>
      </c>
      <c r="B17" s="8" t="inlineStr">
        <is>
          <t>품목</t>
        </is>
      </c>
      <c r="C17" s="8" t="inlineStr">
        <is>
          <t>규격</t>
        </is>
      </c>
      <c r="D17" s="8" t="inlineStr">
        <is>
          <t>수량</t>
        </is>
      </c>
      <c r="E17" s="8" t="inlineStr">
        <is>
          <t>단위</t>
        </is>
      </c>
      <c r="F17" s="8" t="inlineStr">
        <is>
          <t>단가</t>
        </is>
      </c>
      <c r="G17" s="8" t="inlineStr">
        <is>
          <t>공급가액</t>
        </is>
      </c>
      <c r="H17" s="8" t="inlineStr">
        <is>
          <t>세액</t>
        </is>
      </c>
    </row>
    <row r="18">
      <c r="A18" s="9" t="n">
        <v>1</v>
      </c>
      <c r="B18" s="10" t="inlineStr">
        <is>
          <t>LED 디스플레이</t>
        </is>
      </c>
      <c r="C18" s="11" t="inlineStr">
        <is>
          <t>P2.5 SMD Die-casting</t>
        </is>
      </c>
      <c r="D18" s="12" t="n">
        <v>19.1488</v>
      </c>
      <c r="E18" s="9" t="inlineStr">
        <is>
          <t>SQM</t>
        </is>
      </c>
      <c r="F18" s="13" t="n">
        <v>1000000</v>
      </c>
      <c r="G18" s="13">
        <f>D18*F18</f>
        <v/>
      </c>
      <c r="H18" s="13">
        <f>ROUND(G18*0.1,0)</f>
        <v/>
      </c>
    </row>
    <row r="19">
      <c r="A19" s="14" t="n">
        <v>2</v>
      </c>
      <c r="B19" s="15" t="inlineStr">
        <is>
          <t>프로세서</t>
        </is>
      </c>
      <c r="C19" s="16" t="inlineStr">
        <is>
          <t>NovaStar VX600</t>
        </is>
      </c>
      <c r="D19" s="17" t="n">
        <v>1</v>
      </c>
      <c r="E19" s="14" t="inlineStr">
        <is>
          <t>SET</t>
        </is>
      </c>
      <c r="F19" s="18" t="n">
        <v>2000000</v>
      </c>
      <c r="G19" s="18">
        <f>D19*F19</f>
        <v/>
      </c>
      <c r="H19" s="18">
        <f>ROUND(G19*0.1,0)</f>
        <v/>
      </c>
    </row>
    <row r="20">
      <c r="A20" s="9" t="n">
        <v>3</v>
      </c>
      <c r="B20" s="10" t="inlineStr">
        <is>
          <t>구조물/배선</t>
        </is>
      </c>
      <c r="C20" s="11" t="inlineStr">
        <is>
          <t>평면 함체·구조물</t>
        </is>
      </c>
      <c r="D20" s="12" t="n">
        <v>1</v>
      </c>
      <c r="E20" s="9" t="inlineStr">
        <is>
          <t>SET</t>
        </is>
      </c>
      <c r="F20" s="13" t="n">
        <v>3300000</v>
      </c>
      <c r="G20" s="13">
        <f>D20*F20</f>
        <v/>
      </c>
      <c r="H20" s="13">
        <f>ROUND(G20*0.1,0)</f>
        <v/>
      </c>
    </row>
    <row r="21">
      <c r="A21" s="14" t="n">
        <v>4</v>
      </c>
      <c r="B21" s="15" t="inlineStr">
        <is>
          <t>설치공사</t>
        </is>
      </c>
      <c r="C21" s="16" t="inlineStr">
        <is>
          <t>설치·보양·폐기물</t>
        </is>
      </c>
      <c r="D21" s="17" t="n">
        <v>1</v>
      </c>
      <c r="E21" s="14" t="inlineStr">
        <is>
          <t>SET</t>
        </is>
      </c>
      <c r="F21" s="18" t="n">
        <v>2800000</v>
      </c>
      <c r="G21" s="18">
        <f>D21*F21</f>
        <v/>
      </c>
      <c r="H21" s="18">
        <f>ROUND(G21*0.1,0)</f>
        <v/>
      </c>
    </row>
    <row r="22">
      <c r="A22" s="19" t="inlineStr">
        <is>
          <t>플랫 소계 (VAT 별도)</t>
        </is>
      </c>
      <c r="G22" s="20">
        <f>SUM(G18:G21)</f>
        <v/>
      </c>
      <c r="H22" s="20">
        <f>SUM(H18:H21)</f>
        <v/>
      </c>
    </row>
    <row r="24">
      <c r="A24" s="21" t="inlineStr">
        <is>
          <t>공급가액 합계 / 세액 합계</t>
        </is>
      </c>
      <c r="G24" s="22">
        <f>G14+G22</f>
        <v/>
      </c>
      <c r="H24" s="22">
        <f>H14+H22</f>
        <v/>
      </c>
    </row>
    <row r="25">
      <c r="A25" s="23" t="inlineStr">
        <is>
          <t>합 계 (VAT 포함)</t>
        </is>
      </c>
      <c r="G25" s="24">
        <f>G24+H24</f>
        <v/>
      </c>
    </row>
    <row r="27">
      <c r="A27" s="25" t="inlineStr">
        <is>
          <t>■ 특기사항</t>
        </is>
      </c>
    </row>
    <row r="28">
      <c r="A28" s="26"/>
    </row>
    <row r="29">
      <c r="A29" s="26" t="inlineStr">
        <is>
          <t>· 무상보증: 설치완료일로부터 2년 무상 (출장실비 별도)</t>
        </is>
      </c>
    </row>
    <row r="30">
      <c r="A30" s="26" t="inlineStr">
        <is>
          <t>· 소프트웨어(운영 PC/CMS): 미포함</t>
        </is>
      </c>
    </row>
    <row r="31">
      <c r="A31" s="26" t="inlineStr">
        <is>
          <t>· 견적 유효기간: 견적일로부터 21일</t>
        </is>
      </c>
    </row>
    <row r="32">
      <c r="A32" s="26"/>
    </row>
    <row r="33">
      <c r="A33" s="26" t="inlineStr">
        <is>
          <t>· 선금 50% / 잔금 50%</t>
        </is>
      </c>
    </row>
    <row r="34">
      <c r="A34" s="26" t="inlineStr">
        <is>
          <t>· 현장 실사 후 변동 가능</t>
        </is>
      </c>
    </row>
  </sheetData>
  <mergeCells count="23">
    <mergeCell ref="A30:H30"/>
    <mergeCell ref="B3:C3"/>
    <mergeCell ref="E4:F4"/>
    <mergeCell ref="A14:F14"/>
    <mergeCell ref="A16:H16"/>
    <mergeCell ref="G1:H2"/>
    <mergeCell ref="A1:F2"/>
    <mergeCell ref="A22:F22"/>
    <mergeCell ref="A27:H27"/>
    <mergeCell ref="A6:D6"/>
    <mergeCell ref="A33:H33"/>
    <mergeCell ref="A32:H32"/>
    <mergeCell ref="A8:H8"/>
    <mergeCell ref="A24:F24"/>
    <mergeCell ref="A29:H29"/>
    <mergeCell ref="G25:H25"/>
    <mergeCell ref="E6:H6"/>
    <mergeCell ref="A28:H28"/>
    <mergeCell ref="A31:H31"/>
    <mergeCell ref="B4:C4"/>
    <mergeCell ref="E3:F3"/>
    <mergeCell ref="A25:F25"/>
    <mergeCell ref="A34:H34"/>
  </mergeCell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2026-06-01T07:53:00Z</dcterms:created>
  <dcterms:modified xmlns:dcterms="http://purl.org/dc/terms/" xmlns:xsi="http://www.w3.org/2001/XMLSchema-instance" xsi:type="dcterms:W3CDTF">2026-06-01T07:53:00Z</dcterms:modified>
</cp:coreProperties>
</file>