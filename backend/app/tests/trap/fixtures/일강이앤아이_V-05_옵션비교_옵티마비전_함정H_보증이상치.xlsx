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옵션비교" sheetId="1" state="visible" r:id="rId3"/>
    <sheet name="옵션A" sheetId="2" state="visible" r:id="rId4"/>
    <sheet name="옵션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<sst xmlns="http://schemas.openxmlformats.org/spreadsheetml/2006/main" count="82" uniqueCount="64">
  <si>
    <t xml:space="preserve">옵티마비전 견적서 (옵션 비교 · 택1)</t>
  </si>
  <si>
    <t xml:space="preserve">수신</t>
  </si>
  <si>
    <t xml:space="preserve">(주)일강이앤아이 귀하</t>
  </si>
  <si>
    <t xml:space="preserve">건명</t>
  </si>
  <si>
    <t xml:space="preserve">충북 음성공장 회의실 태양광 발전 현황판 디스플레이 구축</t>
  </si>
  <si>
    <t xml:space="preserve">견적일</t>
  </si>
  <si>
    <t xml:space="preserve">2025-12-14</t>
  </si>
  <si>
    <t xml:space="preserve">문서번호</t>
  </si>
  <si>
    <t xml:space="preserve">OPT-2025-1214</t>
  </si>
  <si>
    <t xml:space="preserve">■ 옵션 비교 요약</t>
  </si>
  <si>
    <t xml:space="preserve">옵션</t>
  </si>
  <si>
    <t xml:space="preserve">사양 요약</t>
  </si>
  <si>
    <t xml:space="preserve">Pitch/베젤</t>
  </si>
  <si>
    <t xml:space="preserve">밝기</t>
  </si>
  <si>
    <t xml:space="preserve">VAT별도</t>
  </si>
  <si>
    <t xml:space="preserve">세액</t>
  </si>
  <si>
    <t xml:space="preserve">VAT포함</t>
  </si>
  <si>
    <t xml:space="preserve">비고</t>
  </si>
  <si>
    <t xml:space="preserve">옵션A</t>
  </si>
  <si>
    <t xml:space="preserve">비디오월 46" 3×3 · 베젤 0.88mm(베젤리스) · 500nit </t>
  </si>
  <si>
    <t xml:space="preserve">베젤0.88mm</t>
  </si>
  <si>
    <t xml:space="preserve">500nit</t>
  </si>
  <si>
    <t xml:space="preserve">비디오월</t>
  </si>
  <si>
    <t xml:space="preserve">옵션B</t>
  </si>
  <si>
    <t xml:space="preserve">LED P1.56 · 3,000×2,000mm · SMD · 600nit</t>
  </si>
  <si>
    <t xml:space="preserve">P1.56</t>
  </si>
  <si>
    <t xml:space="preserve">600nit</t>
  </si>
  <si>
    <t xml:space="preserve">LED 전광판</t>
  </si>
  <si>
    <t xml:space="preserve">▶ 납기: 발주 후 60일</t>
  </si>
  <si>
    <t xml:space="preserve">▶ 무상보증: 설치완료 후 20년 무상</t>
  </si>
  <si>
    <t xml:space="preserve">▶ 결제: 선금 50% / 잔금 50%</t>
  </si>
  <si>
    <t xml:space="preserve">▶ 비디오월(옵션A)·LED(옵션B) 두 솔루션 동시 제안 (택1)</t>
  </si>
  <si>
    <t xml:space="preserve">▶ 현황판 콘텐츠 운영 PC 포함</t>
  </si>
  <si>
    <t xml:space="preserve">▶ 현장 실사 후 변동 가능</t>
  </si>
  <si>
    <t xml:space="preserve">옵티마비전 - 옵션A 46" 비디오월 3x3</t>
  </si>
  <si>
    <t xml:space="preserve">비디오월 46" 3×3 · 베젤 0.88mm(베젤리스) · 500nit · 3,067×1,728mm</t>
  </si>
  <si>
    <t xml:space="preserve">No</t>
  </si>
  <si>
    <t xml:space="preserve">품명</t>
  </si>
  <si>
    <t xml:space="preserve">규격</t>
  </si>
  <si>
    <t xml:space="preserve">수량</t>
  </si>
  <si>
    <t xml:space="preserve">단위</t>
  </si>
  <si>
    <t xml:space="preserve">단가</t>
  </si>
  <si>
    <t xml:space="preserve">공급가액</t>
  </si>
  <si>
    <t xml:space="preserve">비디오월 패널</t>
  </si>
  <si>
    <t xml:space="preserve">46" FHD 0.88mm 베젤리스 / 500nit</t>
  </si>
  <si>
    <t xml:space="preserve">EA</t>
  </si>
  <si>
    <t xml:space="preserve">브라켓</t>
  </si>
  <si>
    <t xml:space="preserve">46" 전용 브라켓</t>
  </si>
  <si>
    <t xml:space="preserve">설치비</t>
  </si>
  <si>
    <t xml:space="preserve">3x3 설치·시운전</t>
  </si>
  <si>
    <t xml:space="preserve">식</t>
  </si>
  <si>
    <t xml:space="preserve">잡자재</t>
  </si>
  <si>
    <t xml:space="preserve">케이블·잡자재</t>
  </si>
  <si>
    <t xml:space="preserve">공급가액 / 세액 합계</t>
  </si>
  <si>
    <t xml:space="preserve">합계 (VAT 포함)</t>
  </si>
  <si>
    <t xml:space="preserve">옵티마비전 - 옵션B LED 전광판 P1.56</t>
  </si>
  <si>
    <t xml:space="preserve">LED P1.56 · 3,000×2,000mm · SMD · 600nit · 1,923×1,282px</t>
  </si>
  <si>
    <t xml:space="preserve">LED 디스플레이</t>
  </si>
  <si>
    <t xml:space="preserve">P1.56 SMD / 600nit / 캐비닛 600x400</t>
  </si>
  <si>
    <t xml:space="preserve">컨트롤러</t>
  </si>
  <si>
    <t xml:space="preserve">Colorlight X8E</t>
  </si>
  <si>
    <t xml:space="preserve">운영PC</t>
  </si>
  <si>
    <t xml:space="preserve">i5 / 8G / 256GB</t>
  </si>
  <si>
    <t xml:space="preserve">설치·시운전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</si>
</sst>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###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Noto Sans CJK KR"/>
      <family val="0"/>
      <charset val="1"/>
    </font>
    <font>
      <b val="true"/>
      <sz val="10"/>
      <color rgb="FF000000"/>
      <name val="Noto Sans CJK KR"/>
      <family val="0"/>
      <charset val="1"/>
    </font>
    <font>
      <sz val="10"/>
      <color rgb="FF000000"/>
      <name val="Noto Sans CJK KR"/>
      <family val="0"/>
      <charset val="1"/>
    </font>
    <font>
      <b val="true"/>
      <sz val="12"/>
      <color rgb="FFFFFFFF"/>
      <name val="Noto Sans CJK KR"/>
      <family val="0"/>
      <charset val="1"/>
    </font>
    <font>
      <b val="true"/>
      <sz val="10"/>
      <color rgb="FFFFFFFF"/>
      <name val="Noto Sans CJK KR"/>
      <family val="0"/>
      <charset val="1"/>
    </font>
    <font>
      <sz val="7.5"/>
      <color rgb="FF000000"/>
      <name val="Noto Sans CJK KR"/>
      <family val="0"/>
      <charset val="1"/>
    </font>
    <font>
      <sz val="8"/>
      <color rgb="FF000000"/>
      <name val="Noto Sans CJK KR"/>
      <family val="0"/>
      <charset val="1"/>
    </font>
    <font>
      <sz val="9"/>
      <color rgb="FF000000"/>
      <name val="Noto Sans CJK KR"/>
      <family val="0"/>
      <charset val="1"/>
    </font>
    <font>
      <b val="true"/>
      <sz val="13"/>
      <color rgb="FF000000"/>
      <name val="Noto Sans CJK KR"/>
      <family val="0"/>
      <charset val="1"/>
    </font>
    <font>
      <b val="true"/>
      <sz val="9"/>
      <color rgb="FF000000"/>
      <name val="Noto Sans CJK KR"/>
      <family val="0"/>
      <charset val="1"/>
    </font>
    <font>
      <sz val="8.5"/>
      <color rgb="FF000000"/>
      <name val="Noto Sans CJK KR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0B4A8A"/>
        <bgColor rgb="FF333399"/>
      </patternFill>
    </fill>
    <fill>
      <patternFill patternType="solid">
        <fgColor rgb="FF2F3640"/>
        <bgColor rgb="FF333300"/>
      </patternFill>
    </fill>
    <fill>
      <patternFill patternType="solid">
        <fgColor rgb="FFDDE7F1"/>
        <bgColor rgb="FFEEF3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2F3640"/>
      </left>
      <right style="thin">
        <color rgb="FF2F3640"/>
      </right>
      <top style="thin">
        <color rgb="FF2F3640"/>
      </top>
      <bottom style="thin">
        <color rgb="FF2F36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DDE7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B4A8A"/>
      <rgbColor rgb="FF339966"/>
      <rgbColor rgb="FF003300"/>
      <rgbColor rgb="FF333300"/>
      <rgbColor rgb="FF993300"/>
      <rgbColor rgb="FF993366"/>
      <rgbColor rgb="FF333399"/>
      <rgbColor rgb="FF2F3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</row>
    <row r="7" customFormat="false" ht="15" hidden="false" customHeight="false" outlineLevel="0" collapsed="false">
      <c r="A7" s="4" t="s">
        <v>9</v>
      </c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5" t="s">
        <v>17</v>
      </c>
    </row>
    <row r="10" customFormat="false" ht="30" hidden="false" customHeight="true" outlineLevel="0" collapsed="false">
      <c r="A10" s="6" t="s">
        <v>18</v>
      </c>
      <c r="B10" s="7" t="s">
        <v>19</v>
      </c>
      <c r="C10" s="8" t="s">
        <v>20</v>
      </c>
      <c r="D10" s="8" t="s">
        <v>21</v>
      </c>
      <c r="E10" s="9" t="n">
        <f aca="false">옵션A!G10</f>
        <v>17270000</v>
      </c>
      <c r="F10" s="9" t="n">
        <f aca="false">옵션A!H10</f>
        <v>1727000</v>
      </c>
      <c r="G10" s="9" t="n">
        <f aca="false">옵션A!H11</f>
        <v>18997000</v>
      </c>
      <c r="H10" s="10" t="s">
        <v>22</v>
      </c>
    </row>
    <row r="11" customFormat="false" ht="30" hidden="false" customHeight="true" outlineLevel="0" collapsed="false">
      <c r="A11" s="6" t="s">
        <v>23</v>
      </c>
      <c r="B11" s="7" t="s">
        <v>24</v>
      </c>
      <c r="C11" s="8" t="s">
        <v>25</v>
      </c>
      <c r="D11" s="8" t="s">
        <v>26</v>
      </c>
      <c r="E11" s="9" t="n">
        <f aca="false">옵션B!G10</f>
        <v>12800000</v>
      </c>
      <c r="F11" s="9" t="n">
        <f aca="false">옵션B!H10</f>
        <v>1280000</v>
      </c>
      <c r="G11" s="9" t="n">
        <f aca="false">옵션B!H11</f>
        <v>14080000</v>
      </c>
      <c r="H11" s="10" t="s">
        <v>27</v>
      </c>
    </row>
    <row r="13" customFormat="false" ht="14.15" hidden="false" customHeight="false" outlineLevel="0" collapsed="false">
      <c r="A13" s="11" t="s">
        <v>28</v>
      </c>
      <c r="B13" s="11"/>
      <c r="C13" s="11"/>
      <c r="D13" s="11"/>
      <c r="E13" s="11"/>
      <c r="F13" s="11"/>
      <c r="G13" s="11"/>
      <c r="H13" s="11"/>
    </row>
    <row r="14" customFormat="false" ht="14.15" hidden="false" customHeight="false" outlineLevel="0" collapsed="false">
      <c r="A14" s="11" t="s">
        <v>29</v>
      </c>
      <c r="B14" s="11"/>
      <c r="C14" s="11"/>
      <c r="D14" s="11"/>
      <c r="E14" s="11"/>
      <c r="F14" s="11"/>
      <c r="G14" s="11"/>
      <c r="H14" s="11"/>
    </row>
    <row r="15" customFormat="false" ht="14.15" hidden="false" customHeight="false" outlineLevel="0" collapsed="false">
      <c r="A15" s="11" t="s">
        <v>30</v>
      </c>
      <c r="B15" s="11"/>
      <c r="C15" s="11"/>
      <c r="D15" s="11"/>
      <c r="E15" s="11"/>
      <c r="F15" s="11"/>
      <c r="G15" s="11"/>
      <c r="H15" s="11"/>
    </row>
    <row r="16" customFormat="false" ht="14.15" hidden="false" customHeight="false" outlineLevel="0" collapsed="false">
      <c r="A16" s="11" t="s">
        <v>31</v>
      </c>
      <c r="B16" s="11"/>
      <c r="C16" s="11"/>
      <c r="D16" s="11"/>
      <c r="E16" s="11"/>
      <c r="F16" s="11"/>
      <c r="G16" s="11"/>
      <c r="H16" s="11"/>
    </row>
    <row r="17" customFormat="false" ht="14.15" hidden="false" customHeight="false" outlineLevel="0" collapsed="false">
      <c r="A17" s="11" t="s">
        <v>32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 t="s">
        <v>33</v>
      </c>
      <c r="B18" s="11"/>
      <c r="C18" s="11"/>
      <c r="D18" s="11"/>
      <c r="E18" s="11"/>
      <c r="F18" s="11"/>
      <c r="G18" s="11"/>
      <c r="H18" s="11"/>
    </row>
  </sheetData>
  <mergeCells count="12">
    <mergeCell ref="A1:H1"/>
    <mergeCell ref="B2:H2"/>
    <mergeCell ref="B3:H3"/>
    <mergeCell ref="B4:H4"/>
    <mergeCell ref="B5:H5"/>
    <mergeCell ref="A7:H7"/>
    <mergeCell ref="A13:H13"/>
    <mergeCell ref="A14:H14"/>
    <mergeCell ref="A15:H15"/>
    <mergeCell ref="A16:H16"/>
    <mergeCell ref="A17:H17"/>
    <mergeCell ref="A18:H1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20.1" hidden="false" customHeight="false" outlineLevel="0" collapsed="false">
      <c r="A1" s="12" t="s">
        <v>34</v>
      </c>
      <c r="B1" s="12"/>
      <c r="C1" s="12"/>
      <c r="D1" s="12"/>
      <c r="E1" s="12"/>
      <c r="F1" s="12"/>
      <c r="G1" s="12"/>
      <c r="H1" s="12"/>
    </row>
    <row r="3" customFormat="false" ht="14.15" hidden="false" customHeight="false" outlineLevel="0" collapsed="false">
      <c r="A3" s="13" t="s">
        <v>35</v>
      </c>
      <c r="B3" s="13"/>
      <c r="C3" s="13"/>
      <c r="D3" s="13"/>
      <c r="E3" s="13"/>
      <c r="F3" s="13"/>
      <c r="G3" s="13"/>
      <c r="H3" s="13"/>
    </row>
    <row r="4" customFormat="false" ht="15" hidden="false" customHeight="false" outlineLevel="0" collapsed="false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15</v>
      </c>
    </row>
    <row r="5" customFormat="false" ht="15" hidden="false" customHeight="false" outlineLevel="0" collapsed="false">
      <c r="A5" s="14" t="n">
        <v>1</v>
      </c>
      <c r="B5" s="15" t="s">
        <v>43</v>
      </c>
      <c r="C5" s="16" t="s">
        <v>44</v>
      </c>
      <c r="D5" s="17" t="n">
        <v>9</v>
      </c>
      <c r="E5" s="14" t="s">
        <v>45</v>
      </c>
      <c r="F5" s="18" t="n">
        <v>1350000</v>
      </c>
      <c r="G5" s="18" t="n">
        <f aca="false">D5*F5</f>
        <v>12150000</v>
      </c>
      <c r="H5" s="18" t="n">
        <f aca="false">ROUND(G5*0.1,0)</f>
        <v>1215000</v>
      </c>
    </row>
    <row r="6" customFormat="false" ht="15" hidden="false" customHeight="false" outlineLevel="0" collapsed="false">
      <c r="A6" s="14" t="n">
        <v>2</v>
      </c>
      <c r="B6" s="15" t="s">
        <v>46</v>
      </c>
      <c r="C6" s="16" t="s">
        <v>47</v>
      </c>
      <c r="D6" s="17" t="n">
        <v>9</v>
      </c>
      <c r="E6" s="14" t="s">
        <v>45</v>
      </c>
      <c r="F6" s="18" t="n">
        <v>180000</v>
      </c>
      <c r="G6" s="18" t="n">
        <f aca="false">D6*F6</f>
        <v>1620000</v>
      </c>
      <c r="H6" s="18" t="n">
        <f aca="false">ROUND(G6*0.1,0)</f>
        <v>162000</v>
      </c>
    </row>
    <row r="7" customFormat="false" ht="15" hidden="false" customHeight="false" outlineLevel="0" collapsed="false">
      <c r="A7" s="14" t="n">
        <v>3</v>
      </c>
      <c r="B7" s="15" t="s">
        <v>48</v>
      </c>
      <c r="C7" s="16" t="s">
        <v>49</v>
      </c>
      <c r="D7" s="17" t="n">
        <v>1</v>
      </c>
      <c r="E7" s="14" t="s">
        <v>50</v>
      </c>
      <c r="F7" s="18" t="n">
        <v>3200000</v>
      </c>
      <c r="G7" s="18" t="n">
        <f aca="false">D7*F7</f>
        <v>3200000</v>
      </c>
      <c r="H7" s="18" t="n">
        <f aca="false">ROUND(G7*0.1,0)</f>
        <v>320000</v>
      </c>
    </row>
    <row r="8" customFormat="false" ht="15" hidden="false" customHeight="false" outlineLevel="0" collapsed="false">
      <c r="A8" s="14" t="n">
        <v>4</v>
      </c>
      <c r="B8" s="15" t="s">
        <v>51</v>
      </c>
      <c r="C8" s="16" t="s">
        <v>52</v>
      </c>
      <c r="D8" s="17" t="n">
        <v>1</v>
      </c>
      <c r="E8" s="14" t="s">
        <v>50</v>
      </c>
      <c r="F8" s="18" t="n">
        <v>300000</v>
      </c>
      <c r="G8" s="18" t="n">
        <f aca="false">D8*F8</f>
        <v>300000</v>
      </c>
      <c r="H8" s="18" t="n">
        <f aca="false">ROUND(G8*0.1,0)</f>
        <v>30000</v>
      </c>
    </row>
    <row r="10" customFormat="false" ht="15" hidden="false" customHeight="false" outlineLevel="0" collapsed="false">
      <c r="A10" s="19" t="s">
        <v>53</v>
      </c>
      <c r="B10" s="19"/>
      <c r="C10" s="19"/>
      <c r="D10" s="19"/>
      <c r="E10" s="19"/>
      <c r="F10" s="19"/>
      <c r="G10" s="20" t="n">
        <f aca="false">SUM(G5:G8)</f>
        <v>17270000</v>
      </c>
      <c r="H10" s="20" t="n">
        <f aca="false">SUM(H5:H8)</f>
        <v>1727000</v>
      </c>
    </row>
    <row r="11" customFormat="false" ht="15" hidden="false" customHeight="false" outlineLevel="0" collapsed="false">
      <c r="A11" s="21" t="s">
        <v>54</v>
      </c>
      <c r="B11" s="21"/>
      <c r="C11" s="21"/>
      <c r="D11" s="21"/>
      <c r="E11" s="21"/>
      <c r="F11" s="21"/>
      <c r="G11" s="22"/>
      <c r="H11" s="23" t="n">
        <f aca="false">G10+H10</f>
        <v>18997000</v>
      </c>
    </row>
  </sheetData>
  <mergeCells count="4">
    <mergeCell ref="A1:H1"/>
    <mergeCell ref="A3:H3"/>
    <mergeCell ref="A10:F10"/>
    <mergeCell ref="A11:F1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20.1" hidden="false" customHeight="false" outlineLevel="0" collapsed="false">
      <c r="A1" s="12" t="s">
        <v>55</v>
      </c>
      <c r="B1" s="12"/>
      <c r="C1" s="12"/>
      <c r="D1" s="12"/>
      <c r="E1" s="12"/>
      <c r="F1" s="12"/>
      <c r="G1" s="12"/>
      <c r="H1" s="12"/>
    </row>
    <row r="3" customFormat="false" ht="15" hidden="false" customHeight="false" outlineLevel="0" collapsed="false">
      <c r="A3" s="13" t="s">
        <v>56</v>
      </c>
      <c r="B3" s="13"/>
      <c r="C3" s="13"/>
      <c r="D3" s="13"/>
      <c r="E3" s="13"/>
      <c r="F3" s="13"/>
      <c r="G3" s="13"/>
      <c r="H3" s="13"/>
    </row>
    <row r="4" customFormat="false" ht="15" hidden="false" customHeight="false" outlineLevel="0" collapsed="false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15</v>
      </c>
    </row>
    <row r="5" customFormat="false" ht="15" hidden="false" customHeight="false" outlineLevel="0" collapsed="false">
      <c r="A5" s="14" t="n">
        <v>1</v>
      </c>
      <c r="B5" s="15" t="s">
        <v>57</v>
      </c>
      <c r="C5" s="16" t="s">
        <v>58</v>
      </c>
      <c r="D5" s="17" t="n">
        <v>25</v>
      </c>
      <c r="E5" s="14" t="s">
        <v>45</v>
      </c>
      <c r="F5" s="18" t="n">
        <v>360000</v>
      </c>
      <c r="G5" s="18" t="n">
        <f aca="false">D5*F5</f>
        <v>9000000</v>
      </c>
      <c r="H5" s="18" t="n">
        <f aca="false">ROUND(G5*0.1,0)</f>
        <v>900000</v>
      </c>
    </row>
    <row r="6" customFormat="false" ht="15" hidden="false" customHeight="false" outlineLevel="0" collapsed="false">
      <c r="A6" s="14" t="n">
        <v>2</v>
      </c>
      <c r="B6" s="15" t="s">
        <v>59</v>
      </c>
      <c r="C6" s="16" t="s">
        <v>60</v>
      </c>
      <c r="D6" s="17" t="n">
        <v>1</v>
      </c>
      <c r="E6" s="14" t="s">
        <v>50</v>
      </c>
      <c r="F6" s="18" t="n">
        <v>1400000</v>
      </c>
      <c r="G6" s="18" t="n">
        <f aca="false">D6*F6</f>
        <v>1400000</v>
      </c>
      <c r="H6" s="18" t="n">
        <f aca="false">ROUND(G6*0.1,0)</f>
        <v>140000</v>
      </c>
    </row>
    <row r="7" customFormat="false" ht="15" hidden="false" customHeight="false" outlineLevel="0" collapsed="false">
      <c r="A7" s="14" t="n">
        <v>3</v>
      </c>
      <c r="B7" s="15" t="s">
        <v>61</v>
      </c>
      <c r="C7" s="16" t="s">
        <v>62</v>
      </c>
      <c r="D7" s="17" t="n">
        <v>1</v>
      </c>
      <c r="E7" s="14" t="s">
        <v>45</v>
      </c>
      <c r="F7" s="18" t="n">
        <v>900000</v>
      </c>
      <c r="G7" s="18" t="n">
        <f aca="false">D7*F7</f>
        <v>900000</v>
      </c>
      <c r="H7" s="18" t="n">
        <f aca="false">ROUND(G7*0.1,0)</f>
        <v>90000</v>
      </c>
    </row>
    <row r="8" customFormat="false" ht="15" hidden="false" customHeight="false" outlineLevel="0" collapsed="false">
      <c r="A8" s="14" t="n">
        <v>4</v>
      </c>
      <c r="B8" s="15" t="s">
        <v>48</v>
      </c>
      <c r="C8" s="16" t="s">
        <v>63</v>
      </c>
      <c r="D8" s="17" t="n">
        <v>1</v>
      </c>
      <c r="E8" s="14" t="s">
        <v>50</v>
      </c>
      <c r="F8" s="18" t="n">
        <v>1500000</v>
      </c>
      <c r="G8" s="18" t="n">
        <f aca="false">D8*F8</f>
        <v>1500000</v>
      </c>
      <c r="H8" s="18" t="n">
        <f aca="false">ROUND(G8*0.1,0)</f>
        <v>150000</v>
      </c>
    </row>
    <row r="10" customFormat="false" ht="15" hidden="false" customHeight="false" outlineLevel="0" collapsed="false">
      <c r="A10" s="19" t="s">
        <v>53</v>
      </c>
      <c r="B10" s="19"/>
      <c r="C10" s="19"/>
      <c r="D10" s="19"/>
      <c r="E10" s="19"/>
      <c r="F10" s="19"/>
      <c r="G10" s="20" t="n">
        <f aca="false">SUM(G5:G8)</f>
        <v>12800000</v>
      </c>
      <c r="H10" s="20" t="n">
        <f aca="false">SUM(H5:H8)</f>
        <v>1280000</v>
      </c>
    </row>
    <row r="11" customFormat="false" ht="15" hidden="false" customHeight="false" outlineLevel="0" collapsed="false">
      <c r="A11" s="21" t="s">
        <v>54</v>
      </c>
      <c r="B11" s="21"/>
      <c r="C11" s="21"/>
      <c r="D11" s="21"/>
      <c r="E11" s="21"/>
      <c r="F11" s="21"/>
      <c r="G11" s="22"/>
      <c r="H11" s="23" t="n">
        <f aca="false">G10+H10</f>
        <v>14080000</v>
      </c>
    </row>
  </sheetData>
  <mergeCells count="4">
    <mergeCell ref="A1:H1"/>
    <mergeCell ref="A3:H3"/>
    <mergeCell ref="A10:F10"/>
    <mergeCell ref="A11:F1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2026-06-01T14:32:15Z</dcterms:created>
  <dc:creator>openpyxl</dc:creator>
  <dc:description/>
  <dc:language>en-US</dc:language>
  <cp:lastModifiedBy/>
  <dcterms:modified xsi:type="dcterms:W3CDTF">2026-06-01T14:32:15Z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